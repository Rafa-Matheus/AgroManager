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/>
  <workbookPr defaultThemeVersion="124226"/>
  <bookViews>
    <workbookView xWindow="3930" yWindow="1440" windowWidth="11100" windowHeight="5595"/>
  </bookViews>
  <sheets>
    <sheet name="ORDEM DE PRODUÇÃO (2)" sheetId="37" r:id="rId1"/>
  </sheets>
  <calcPr calcId="124519"/>
</workbook>
</file>

<file path=xl/calcChain.xml><?xml version="1.0" encoding="utf-8"?>
<calcChain xmlns="http://schemas.openxmlformats.org/spreadsheetml/2006/main">
  <c r="AB59" i="37"/>
  <c r="AE67" l="1"/>
  <c r="Z64"/>
  <c r="AM63"/>
  <c r="AI63"/>
  <c r="AI59"/>
  <c r="AM58"/>
  <c r="AI58"/>
  <c r="AQ57"/>
  <c r="AI57"/>
  <c r="AM56"/>
  <c r="AI56"/>
  <c r="AM55"/>
  <c r="AI55"/>
  <c r="AM54"/>
  <c r="AI54"/>
  <c r="AM53"/>
  <c r="AI53"/>
  <c r="AM52"/>
  <c r="K67" s="1"/>
  <c r="AI52"/>
  <c r="AI51"/>
  <c r="AI50"/>
  <c r="AM49"/>
  <c r="AI49"/>
  <c r="AI48"/>
  <c r="AQ47"/>
  <c r="AI47"/>
  <c r="AI45"/>
  <c r="W67" s="1"/>
  <c r="AM44"/>
  <c r="AI44"/>
  <c r="AQ42"/>
  <c r="AM42"/>
  <c r="AI42"/>
  <c r="AQ41"/>
  <c r="AM41"/>
  <c r="AI41"/>
  <c r="AQ40"/>
  <c r="AC67" s="1"/>
  <c r="AM40"/>
  <c r="AA67" s="1"/>
  <c r="AI40"/>
  <c r="Y67" s="1"/>
  <c r="AM38"/>
  <c r="AI38"/>
  <c r="AM37"/>
  <c r="AI37"/>
  <c r="AM36"/>
  <c r="AI36"/>
  <c r="AM35"/>
  <c r="AI35"/>
  <c r="AI34"/>
  <c r="AM33"/>
  <c r="AI33"/>
  <c r="AM32"/>
  <c r="S67" s="1"/>
  <c r="AI32"/>
  <c r="AM31"/>
  <c r="AI31"/>
  <c r="AM30"/>
  <c r="AI30"/>
  <c r="AI29"/>
  <c r="AI28"/>
  <c r="AM27"/>
  <c r="AI27"/>
  <c r="AM26"/>
  <c r="M67" s="1"/>
  <c r="AI26"/>
  <c r="AM25"/>
  <c r="AI25"/>
  <c r="AM24"/>
  <c r="O67" s="1"/>
  <c r="AI24"/>
  <c r="AM23"/>
  <c r="AI23"/>
  <c r="AM22"/>
  <c r="AI22"/>
  <c r="AM21"/>
  <c r="AI21"/>
  <c r="AM20"/>
  <c r="AI20"/>
  <c r="AM19"/>
  <c r="AI19"/>
  <c r="AI18"/>
  <c r="AI17"/>
  <c r="AI16"/>
  <c r="AI15"/>
  <c r="AI13"/>
  <c r="AI12"/>
  <c r="L7"/>
  <c r="AB63" s="1"/>
  <c r="AE63" s="1"/>
  <c r="Q67" l="1"/>
  <c r="C67"/>
  <c r="I67"/>
  <c r="A67"/>
  <c r="E67"/>
  <c r="U67"/>
  <c r="AB11"/>
  <c r="AB12"/>
  <c r="AE12" s="1"/>
  <c r="AB14"/>
  <c r="AE14" s="1"/>
  <c r="AB15"/>
  <c r="AE15" s="1"/>
  <c r="AB17"/>
  <c r="AE17" s="1"/>
  <c r="AB19"/>
  <c r="AE19" s="1"/>
  <c r="AB20"/>
  <c r="AE20" s="1"/>
  <c r="AB21"/>
  <c r="AE21" s="1"/>
  <c r="AB22"/>
  <c r="AE22" s="1"/>
  <c r="AB23"/>
  <c r="AE23" s="1"/>
  <c r="AB24"/>
  <c r="AE24" s="1"/>
  <c r="AB25"/>
  <c r="AE25" s="1"/>
  <c r="AB26"/>
  <c r="AE26" s="1"/>
  <c r="AB27"/>
  <c r="AE27" s="1"/>
  <c r="AB28"/>
  <c r="AE28" s="1"/>
  <c r="AB30"/>
  <c r="AE30" s="1"/>
  <c r="AB31"/>
  <c r="AE31" s="1"/>
  <c r="AB32"/>
  <c r="AE32" s="1"/>
  <c r="AB33"/>
  <c r="AE33" s="1"/>
  <c r="AB34"/>
  <c r="AE34" s="1"/>
  <c r="AB41"/>
  <c r="AE41" s="1"/>
  <c r="AB43"/>
  <c r="AE43" s="1"/>
  <c r="AB44"/>
  <c r="AE44" s="1"/>
  <c r="AB45"/>
  <c r="AE45" s="1"/>
  <c r="AB49"/>
  <c r="AE49" s="1"/>
  <c r="AB50"/>
  <c r="AE50" s="1"/>
  <c r="AB52"/>
  <c r="AE52" s="1"/>
  <c r="AB53"/>
  <c r="AE53" s="1"/>
  <c r="AB54"/>
  <c r="AE54" s="1"/>
  <c r="AB55"/>
  <c r="AE55" s="1"/>
  <c r="AB56"/>
  <c r="AE56" s="1"/>
  <c r="AB57"/>
  <c r="AE57" s="1"/>
  <c r="AB58"/>
  <c r="AE58" s="1"/>
  <c r="AE59"/>
  <c r="AB13"/>
  <c r="AE13" s="1"/>
  <c r="AB16"/>
  <c r="AE16" s="1"/>
  <c r="AB18"/>
  <c r="AE18" s="1"/>
  <c r="AB29"/>
  <c r="AE29" s="1"/>
  <c r="AB35"/>
  <c r="AE35" s="1"/>
  <c r="AB36"/>
  <c r="AE36" s="1"/>
  <c r="AB37"/>
  <c r="AE37" s="1"/>
  <c r="AB38"/>
  <c r="AE38" s="1"/>
  <c r="AB39"/>
  <c r="AE39" s="1"/>
  <c r="AB40"/>
  <c r="AE40" s="1"/>
  <c r="AB42"/>
  <c r="AE42" s="1"/>
  <c r="AB46"/>
  <c r="AE46" s="1"/>
  <c r="AB47"/>
  <c r="AE47" s="1"/>
  <c r="AB48"/>
  <c r="AE48" s="1"/>
  <c r="AB51"/>
  <c r="AE51" s="1"/>
  <c r="AB60"/>
  <c r="AE60" s="1"/>
  <c r="AB61"/>
  <c r="AE61" s="1"/>
  <c r="AB62"/>
  <c r="AE62" s="1"/>
  <c r="AE11" l="1"/>
  <c r="AE64" s="1"/>
  <c r="AB64"/>
</calcChain>
</file>

<file path=xl/sharedStrings.xml><?xml version="1.0" encoding="utf-8"?>
<sst xmlns="http://schemas.openxmlformats.org/spreadsheetml/2006/main" count="278" uniqueCount="112">
  <si>
    <t>%</t>
  </si>
  <si>
    <t>Mn</t>
  </si>
  <si>
    <t>Zn</t>
  </si>
  <si>
    <t>Cu</t>
  </si>
  <si>
    <t>S</t>
  </si>
  <si>
    <t>Mg</t>
  </si>
  <si>
    <t>ORDEM DE PRODUÇÃO AMAZON AGROSCIENCES</t>
  </si>
  <si>
    <t>DATA</t>
  </si>
  <si>
    <t>REG. ESTABEL.</t>
  </si>
  <si>
    <t>CLIENTE</t>
  </si>
  <si>
    <t>TEMPO AGITAÇÃO</t>
  </si>
  <si>
    <t>REATOR</t>
  </si>
  <si>
    <t>PRODUTO</t>
  </si>
  <si>
    <t>DENS.</t>
  </si>
  <si>
    <t>CÓD.</t>
  </si>
  <si>
    <t>LOTE</t>
  </si>
  <si>
    <t>REG. PRODUTO</t>
  </si>
  <si>
    <t>QTDE (L)</t>
  </si>
  <si>
    <t>QTDE (Kg)</t>
  </si>
  <si>
    <t>FAB</t>
  </si>
  <si>
    <t>VALIDADE</t>
  </si>
  <si>
    <t>MATÉRIA-PRIMA</t>
  </si>
  <si>
    <t>ORDEM</t>
  </si>
  <si>
    <t>% NUTRIENTES</t>
  </si>
  <si>
    <t>1 Kg</t>
  </si>
  <si>
    <t>GARANTIA DO PRODUTO FINAL</t>
  </si>
  <si>
    <t>ELEM.</t>
  </si>
  <si>
    <t>g/Kg</t>
  </si>
  <si>
    <t>ÁGUA</t>
  </si>
  <si>
    <t>ÁCIDO BÓRICO</t>
  </si>
  <si>
    <t>B</t>
  </si>
  <si>
    <t>BORO 10% LIQUIDO</t>
  </si>
  <si>
    <t>ÁCIDO CÍTRICO</t>
  </si>
  <si>
    <t>ÁCIDO FOSFÓRICO</t>
  </si>
  <si>
    <t>P2O5</t>
  </si>
  <si>
    <t>ÁCIDO FOSFOROSO</t>
  </si>
  <si>
    <t>ÁCIDO NÍTRICO</t>
  </si>
  <si>
    <t>N</t>
  </si>
  <si>
    <t>ÁCIDO SULFÚRICO</t>
  </si>
  <si>
    <t>NITRATO DE  CALCIO SOLIDO</t>
  </si>
  <si>
    <t>Ca</t>
  </si>
  <si>
    <t>NITRATO DE  CALCIO BRENNTAG</t>
  </si>
  <si>
    <t>NITRATO DE  CALCIO MULTITECNICA</t>
  </si>
  <si>
    <t>NITRATO DE MAGNESIO MULTITECNICA</t>
  </si>
  <si>
    <t>NITRATO DE MAGNESIO BRENNTAG</t>
  </si>
  <si>
    <t>NITRATOS DE MANGANES MULTITECNICA</t>
  </si>
  <si>
    <t>NITRATOS DE MANGANES BRENNTAG</t>
  </si>
  <si>
    <t>NITRATO DE ZINCO MULTITECNICA</t>
  </si>
  <si>
    <t>NITRATO DE ZINCO BRENNTAG</t>
  </si>
  <si>
    <t>CARBONATO DE CALCIO</t>
  </si>
  <si>
    <t>CARBONATO DE POTÁSSIO</t>
  </si>
  <si>
    <t>K2O</t>
  </si>
  <si>
    <t>CLORETO DE CALCIO SOL.</t>
  </si>
  <si>
    <t>Cl</t>
  </si>
  <si>
    <t>CLORETO DE CALCIO LIQUIDO</t>
  </si>
  <si>
    <t>CLORETO DE COBRE LIQUIDO</t>
  </si>
  <si>
    <t>CLORETO DE MANGANES LIQUIDO</t>
  </si>
  <si>
    <t>CLORETO DE POTÁSSIO PO</t>
  </si>
  <si>
    <t>CLORETO DE POTASIO LIQUIDO</t>
  </si>
  <si>
    <t>CLORETO DE ZINCO LIQUIDO</t>
  </si>
  <si>
    <t xml:space="preserve">Cl </t>
  </si>
  <si>
    <t>CLORETO DE ZINCO SOLIDO</t>
  </si>
  <si>
    <t>CLORETO FERRICO LIQUIDO</t>
  </si>
  <si>
    <t>Fe</t>
  </si>
  <si>
    <t>EDTA PENTASSODICO</t>
  </si>
  <si>
    <t xml:space="preserve">MELAÇO EM PO </t>
  </si>
  <si>
    <t>CO</t>
  </si>
  <si>
    <t>FULV</t>
  </si>
  <si>
    <t>HUM</t>
  </si>
  <si>
    <t xml:space="preserve">FUEL BLACK LIQ </t>
  </si>
  <si>
    <t>OURO PRETO</t>
  </si>
  <si>
    <t>GLICERINA</t>
  </si>
  <si>
    <t>MAP PURIFICADO</t>
  </si>
  <si>
    <t>MOLIBDATO DE SÓDIO</t>
  </si>
  <si>
    <t>Mo</t>
  </si>
  <si>
    <t>MONOETANOLAMINA</t>
  </si>
  <si>
    <t>NITRATO DE AMONIO SOL.</t>
  </si>
  <si>
    <t>NITRATO DE AMONIO LIQ.</t>
  </si>
  <si>
    <t>NITRATO DE POTÁSSIO</t>
  </si>
  <si>
    <t>POTASSA CAUSTICA</t>
  </si>
  <si>
    <t>SULFATO DE COBALTO</t>
  </si>
  <si>
    <t>Co</t>
  </si>
  <si>
    <t>SULFATO DE COBRE</t>
  </si>
  <si>
    <t>SULFATO DE FERRO</t>
  </si>
  <si>
    <t>SULFATO DE MANGANES</t>
  </si>
  <si>
    <t>SULFATO DE POTÁSSIO</t>
  </si>
  <si>
    <t>SULFATO DE ZINCO</t>
  </si>
  <si>
    <t>UREIA</t>
  </si>
  <si>
    <t>BIOMIX</t>
  </si>
  <si>
    <t>ANTIESPUMANTE</t>
  </si>
  <si>
    <t>ÓXIDO DE MAGNESIO</t>
  </si>
  <si>
    <t>MgO</t>
  </si>
  <si>
    <t>NIVEIS DE GARANTIAS</t>
  </si>
  <si>
    <t xml:space="preserve">DENSIDADE : </t>
  </si>
  <si>
    <t>N-Total</t>
  </si>
  <si>
    <t xml:space="preserve">Cu </t>
  </si>
  <si>
    <t>Mó</t>
  </si>
  <si>
    <t>M O</t>
  </si>
  <si>
    <t>AJUSTES</t>
  </si>
  <si>
    <t>QTDE</t>
  </si>
  <si>
    <t>OPERAÇÕES</t>
  </si>
  <si>
    <t>INICIO (DATA/HORA)</t>
  </si>
  <si>
    <t>TERMINO (DATA/HORA)</t>
  </si>
  <si>
    <t>OPERADOR 1</t>
  </si>
  <si>
    <t>OPERADOR 2</t>
  </si>
  <si>
    <t>OPERADOR 3</t>
  </si>
  <si>
    <t>OPERADOR 4</t>
  </si>
  <si>
    <t>PH:</t>
  </si>
  <si>
    <t>SOLUMAG</t>
  </si>
  <si>
    <t>VÁRIOS</t>
  </si>
  <si>
    <t>a.</t>
  </si>
  <si>
    <t>AMINOÁCIDOS</t>
  </si>
</sst>
</file>

<file path=xl/styles.xml><?xml version="1.0" encoding="utf-8"?>
<styleSheet xmlns="http://schemas.openxmlformats.org/spreadsheetml/2006/main">
  <numFmts count="7">
    <numFmt numFmtId="164" formatCode="#,##0.0"/>
    <numFmt numFmtId="165" formatCode="0.0"/>
    <numFmt numFmtId="166" formatCode="0.000"/>
    <numFmt numFmtId="167" formatCode="0.0000"/>
    <numFmt numFmtId="168" formatCode="#,##0.00000"/>
    <numFmt numFmtId="169" formatCode="#,##0.0000"/>
    <numFmt numFmtId="170" formatCode="#,##0.000"/>
  </numFmts>
  <fonts count="11">
    <font>
      <sz val="10"/>
      <name val="Arial"/>
    </font>
    <font>
      <sz val="10"/>
      <name val="Arial"/>
      <family val="2"/>
    </font>
    <font>
      <sz val="12"/>
      <name val="Arial Narrow"/>
      <family val="2"/>
    </font>
    <font>
      <b/>
      <sz val="12"/>
      <name val="Arial Narrow"/>
      <family val="2"/>
    </font>
    <font>
      <b/>
      <sz val="10"/>
      <name val="Arial Narrow"/>
      <family val="2"/>
    </font>
    <font>
      <b/>
      <sz val="14"/>
      <name val="Arial Narrow"/>
      <family val="2"/>
    </font>
    <font>
      <sz val="10"/>
      <name val="Arial Narrow"/>
      <family val="2"/>
    </font>
    <font>
      <b/>
      <sz val="5"/>
      <name val="Arial Narrow"/>
      <family val="2"/>
    </font>
    <font>
      <b/>
      <sz val="11"/>
      <name val="Arial Narrow"/>
      <family val="2"/>
    </font>
    <font>
      <sz val="10"/>
      <color rgb="FFFF0000"/>
      <name val="Arial Narrow"/>
      <family val="2"/>
    </font>
    <font>
      <sz val="11"/>
      <name val="Arial Narrow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/>
  </cellStyleXfs>
  <cellXfs count="119">
    <xf numFmtId="0" fontId="0" fillId="0" borderId="0" xfId="0"/>
    <xf numFmtId="0" fontId="2" fillId="0" borderId="0" xfId="1" applyFont="1"/>
    <xf numFmtId="0" fontId="2" fillId="3" borderId="0" xfId="1" applyFont="1" applyFill="1"/>
    <xf numFmtId="0" fontId="3" fillId="3" borderId="0" xfId="1" applyFont="1" applyFill="1" applyBorder="1" applyAlignment="1">
      <alignment horizontal="center"/>
    </xf>
    <xf numFmtId="0" fontId="2" fillId="3" borderId="0" xfId="1" applyFont="1" applyFill="1" applyBorder="1" applyAlignment="1">
      <alignment horizontal="center"/>
    </xf>
    <xf numFmtId="0" fontId="2" fillId="3" borderId="0" xfId="1" applyFont="1" applyFill="1" applyBorder="1"/>
    <xf numFmtId="0" fontId="2" fillId="0" borderId="0" xfId="1" applyFont="1" applyBorder="1"/>
    <xf numFmtId="0" fontId="6" fillId="3" borderId="0" xfId="1" applyFont="1" applyFill="1"/>
    <xf numFmtId="0" fontId="6" fillId="0" borderId="0" xfId="1" applyFont="1"/>
    <xf numFmtId="0" fontId="4" fillId="0" borderId="7" xfId="1" applyFont="1" applyFill="1" applyBorder="1" applyAlignment="1">
      <alignment horizontal="center"/>
    </xf>
    <xf numFmtId="0" fontId="9" fillId="0" borderId="0" xfId="1" applyFont="1"/>
    <xf numFmtId="0" fontId="4" fillId="0" borderId="1" xfId="1" applyFont="1" applyFill="1" applyBorder="1" applyAlignment="1">
      <alignment horizontal="center"/>
    </xf>
    <xf numFmtId="0" fontId="6" fillId="0" borderId="8" xfId="1" applyFont="1" applyBorder="1" applyAlignment="1"/>
    <xf numFmtId="0" fontId="6" fillId="0" borderId="0" xfId="1" applyFont="1" applyAlignment="1"/>
    <xf numFmtId="0" fontId="4" fillId="0" borderId="0" xfId="1" applyFont="1"/>
    <xf numFmtId="0" fontId="6" fillId="5" borderId="5" xfId="1" applyFont="1" applyFill="1" applyBorder="1" applyAlignment="1">
      <alignment horizontal="center"/>
    </xf>
    <xf numFmtId="0" fontId="6" fillId="5" borderId="2" xfId="1" applyFont="1" applyFill="1" applyBorder="1" applyAlignment="1">
      <alignment horizontal="center"/>
    </xf>
    <xf numFmtId="2" fontId="6" fillId="5" borderId="5" xfId="1" applyNumberFormat="1" applyFont="1" applyFill="1" applyBorder="1" applyAlignment="1">
      <alignment horizontal="center"/>
    </xf>
    <xf numFmtId="2" fontId="6" fillId="5" borderId="2" xfId="1" applyNumberFormat="1" applyFont="1" applyFill="1" applyBorder="1" applyAlignment="1">
      <alignment horizontal="center"/>
    </xf>
    <xf numFmtId="2" fontId="6" fillId="6" borderId="5" xfId="1" applyNumberFormat="1" applyFont="1" applyFill="1" applyBorder="1" applyAlignment="1">
      <alignment horizontal="center"/>
    </xf>
    <xf numFmtId="2" fontId="6" fillId="6" borderId="2" xfId="1" applyNumberFormat="1" applyFont="1" applyFill="1" applyBorder="1" applyAlignment="1">
      <alignment horizontal="center"/>
    </xf>
    <xf numFmtId="0" fontId="4" fillId="0" borderId="7" xfId="1" applyFont="1" applyBorder="1" applyAlignment="1">
      <alignment horizontal="center"/>
    </xf>
    <xf numFmtId="0" fontId="6" fillId="0" borderId="7" xfId="1" applyFont="1" applyBorder="1" applyAlignment="1">
      <alignment horizontal="center"/>
    </xf>
    <xf numFmtId="166" fontId="6" fillId="7" borderId="7" xfId="1" applyNumberFormat="1" applyFont="1" applyFill="1" applyBorder="1" applyAlignment="1">
      <alignment horizontal="center"/>
    </xf>
    <xf numFmtId="2" fontId="6" fillId="7" borderId="7" xfId="1" applyNumberFormat="1" applyFont="1" applyFill="1" applyBorder="1" applyAlignment="1">
      <alignment horizontal="center"/>
    </xf>
    <xf numFmtId="0" fontId="4" fillId="5" borderId="11" xfId="1" applyFont="1" applyFill="1" applyBorder="1" applyAlignment="1">
      <alignment horizontal="center"/>
    </xf>
    <xf numFmtId="22" fontId="4" fillId="0" borderId="7" xfId="1" applyNumberFormat="1" applyFont="1" applyBorder="1" applyAlignment="1">
      <alignment horizontal="center"/>
    </xf>
    <xf numFmtId="0" fontId="4" fillId="5" borderId="7" xfId="1" applyFont="1" applyFill="1" applyBorder="1" applyAlignment="1">
      <alignment horizontal="center"/>
    </xf>
    <xf numFmtId="0" fontId="6" fillId="0" borderId="0" xfId="1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/>
    </xf>
    <xf numFmtId="0" fontId="4" fillId="0" borderId="1" xfId="1" applyFont="1" applyBorder="1" applyAlignment="1">
      <alignment horizontal="center" vertical="center"/>
    </xf>
    <xf numFmtId="0" fontId="4" fillId="0" borderId="2" xfId="1" applyFont="1" applyBorder="1" applyAlignment="1">
      <alignment horizontal="center" vertical="center"/>
    </xf>
    <xf numFmtId="2" fontId="6" fillId="0" borderId="0" xfId="1" applyNumberFormat="1" applyFont="1" applyAlignment="1">
      <alignment horizontal="center"/>
    </xf>
    <xf numFmtId="166" fontId="4" fillId="3" borderId="7" xfId="1" applyNumberFormat="1" applyFont="1" applyFill="1" applyBorder="1" applyAlignment="1">
      <alignment horizontal="center"/>
    </xf>
    <xf numFmtId="166" fontId="6" fillId="3" borderId="7" xfId="1" applyNumberFormat="1" applyFont="1" applyFill="1" applyBorder="1" applyAlignment="1">
      <alignment horizontal="center"/>
    </xf>
    <xf numFmtId="166" fontId="6" fillId="0" borderId="5" xfId="1" applyNumberFormat="1" applyFont="1" applyFill="1" applyBorder="1" applyAlignment="1">
      <alignment horizontal="center"/>
    </xf>
    <xf numFmtId="166" fontId="6" fillId="0" borderId="2" xfId="1" applyNumberFormat="1" applyFont="1" applyFill="1" applyBorder="1" applyAlignment="1">
      <alignment horizontal="center"/>
    </xf>
    <xf numFmtId="166" fontId="6" fillId="0" borderId="7" xfId="1" applyNumberFormat="1" applyFont="1" applyFill="1" applyBorder="1" applyAlignment="1">
      <alignment horizontal="center"/>
    </xf>
    <xf numFmtId="167" fontId="6" fillId="7" borderId="7" xfId="1" applyNumberFormat="1" applyFont="1" applyFill="1" applyBorder="1" applyAlignment="1">
      <alignment horizontal="center"/>
    </xf>
    <xf numFmtId="0" fontId="6" fillId="7" borderId="7" xfId="1" applyFont="1" applyFill="1" applyBorder="1" applyAlignment="1">
      <alignment horizontal="center"/>
    </xf>
    <xf numFmtId="0" fontId="6" fillId="7" borderId="7" xfId="1" applyNumberFormat="1" applyFont="1" applyFill="1" applyBorder="1" applyAlignment="1">
      <alignment horizontal="center"/>
    </xf>
    <xf numFmtId="165" fontId="6" fillId="7" borderId="7" xfId="1" applyNumberFormat="1" applyFont="1" applyFill="1" applyBorder="1" applyAlignment="1">
      <alignment horizontal="center"/>
    </xf>
    <xf numFmtId="0" fontId="4" fillId="7" borderId="7" xfId="1" applyFont="1" applyFill="1" applyBorder="1" applyAlignment="1">
      <alignment horizontal="center"/>
    </xf>
    <xf numFmtId="2" fontId="6" fillId="3" borderId="7" xfId="1" applyNumberFormat="1" applyFont="1" applyFill="1" applyBorder="1" applyAlignment="1">
      <alignment horizontal="center"/>
    </xf>
    <xf numFmtId="0" fontId="6" fillId="0" borderId="5" xfId="1" applyFont="1" applyFill="1" applyBorder="1" applyAlignment="1">
      <alignment horizontal="center"/>
    </xf>
    <xf numFmtId="0" fontId="6" fillId="0" borderId="2" xfId="1" applyFont="1" applyFill="1" applyBorder="1" applyAlignment="1">
      <alignment horizontal="center"/>
    </xf>
    <xf numFmtId="2" fontId="6" fillId="0" borderId="5" xfId="1" applyNumberFormat="1" applyFont="1" applyFill="1" applyBorder="1" applyAlignment="1">
      <alignment horizontal="center"/>
    </xf>
    <xf numFmtId="2" fontId="6" fillId="0" borderId="2" xfId="1" applyNumberFormat="1" applyFont="1" applyFill="1" applyBorder="1" applyAlignment="1">
      <alignment horizontal="center"/>
    </xf>
    <xf numFmtId="2" fontId="6" fillId="5" borderId="5" xfId="1" applyNumberFormat="1" applyFont="1" applyFill="1" applyBorder="1" applyAlignment="1">
      <alignment horizontal="center"/>
    </xf>
    <xf numFmtId="2" fontId="6" fillId="5" borderId="2" xfId="1" applyNumberFormat="1" applyFont="1" applyFill="1" applyBorder="1" applyAlignment="1">
      <alignment horizontal="center"/>
    </xf>
    <xf numFmtId="2" fontId="6" fillId="6" borderId="7" xfId="1" applyNumberFormat="1" applyFont="1" applyFill="1" applyBorder="1" applyAlignment="1">
      <alignment horizontal="center"/>
    </xf>
    <xf numFmtId="0" fontId="4" fillId="6" borderId="12" xfId="1" applyFont="1" applyFill="1" applyBorder="1" applyAlignment="1">
      <alignment horizontal="center"/>
    </xf>
    <xf numFmtId="2" fontId="6" fillId="0" borderId="13" xfId="1" applyNumberFormat="1" applyFont="1" applyBorder="1" applyAlignment="1">
      <alignment horizontal="center"/>
    </xf>
    <xf numFmtId="164" fontId="6" fillId="0" borderId="12" xfId="1" applyNumberFormat="1" applyFont="1" applyBorder="1" applyAlignment="1">
      <alignment horizontal="center"/>
    </xf>
    <xf numFmtId="4" fontId="6" fillId="0" borderId="5" xfId="1" applyNumberFormat="1" applyFont="1" applyFill="1" applyBorder="1" applyAlignment="1">
      <alignment horizontal="center"/>
    </xf>
    <xf numFmtId="4" fontId="6" fillId="0" borderId="2" xfId="1" applyNumberFormat="1" applyFont="1" applyFill="1" applyBorder="1" applyAlignment="1">
      <alignment horizontal="center"/>
    </xf>
    <xf numFmtId="0" fontId="6" fillId="0" borderId="8" xfId="1" applyFont="1" applyBorder="1" applyAlignment="1">
      <alignment horizontal="center"/>
    </xf>
    <xf numFmtId="0" fontId="6" fillId="5" borderId="5" xfId="1" applyFont="1" applyFill="1" applyBorder="1" applyAlignment="1">
      <alignment horizontal="center"/>
    </xf>
    <xf numFmtId="0" fontId="6" fillId="5" borderId="2" xfId="1" applyFont="1" applyFill="1" applyBorder="1" applyAlignment="1">
      <alignment horizontal="center"/>
    </xf>
    <xf numFmtId="2" fontId="6" fillId="8" borderId="5" xfId="1" applyNumberFormat="1" applyFont="1" applyFill="1" applyBorder="1" applyAlignment="1">
      <alignment horizontal="center"/>
    </xf>
    <xf numFmtId="2" fontId="6" fillId="8" borderId="2" xfId="1" applyNumberFormat="1" applyFont="1" applyFill="1" applyBorder="1" applyAlignment="1">
      <alignment horizontal="center"/>
    </xf>
    <xf numFmtId="4" fontId="8" fillId="2" borderId="7" xfId="1" applyNumberFormat="1" applyFont="1" applyFill="1" applyBorder="1" applyAlignment="1">
      <alignment horizontal="center"/>
    </xf>
    <xf numFmtId="168" fontId="4" fillId="0" borderId="5" xfId="1" applyNumberFormat="1" applyFont="1" applyFill="1" applyBorder="1" applyAlignment="1">
      <alignment horizontal="center"/>
    </xf>
    <xf numFmtId="168" fontId="4" fillId="0" borderId="2" xfId="1" applyNumberFormat="1" applyFont="1" applyFill="1" applyBorder="1" applyAlignment="1">
      <alignment horizontal="center"/>
    </xf>
    <xf numFmtId="0" fontId="6" fillId="0" borderId="7" xfId="1" applyFont="1" applyFill="1" applyBorder="1" applyAlignment="1">
      <alignment horizontal="center"/>
    </xf>
    <xf numFmtId="0" fontId="6" fillId="0" borderId="1" xfId="1" applyFont="1" applyFill="1" applyBorder="1" applyAlignment="1">
      <alignment horizontal="center"/>
    </xf>
    <xf numFmtId="166" fontId="6" fillId="0" borderId="8" xfId="1" applyNumberFormat="1" applyFont="1" applyBorder="1" applyAlignment="1">
      <alignment horizontal="center"/>
    </xf>
    <xf numFmtId="0" fontId="6" fillId="6" borderId="5" xfId="1" applyFont="1" applyFill="1" applyBorder="1" applyAlignment="1">
      <alignment horizontal="center"/>
    </xf>
    <xf numFmtId="0" fontId="6" fillId="6" borderId="2" xfId="1" applyFont="1" applyFill="1" applyBorder="1" applyAlignment="1">
      <alignment horizontal="center"/>
    </xf>
    <xf numFmtId="166" fontId="6" fillId="6" borderId="7" xfId="1" applyNumberFormat="1" applyFont="1" applyFill="1" applyBorder="1" applyAlignment="1">
      <alignment horizontal="center"/>
    </xf>
    <xf numFmtId="2" fontId="6" fillId="6" borderId="5" xfId="1" applyNumberFormat="1" applyFont="1" applyFill="1" applyBorder="1" applyAlignment="1">
      <alignment horizontal="center"/>
    </xf>
    <xf numFmtId="2" fontId="6" fillId="6" borderId="2" xfId="1" applyNumberFormat="1" applyFont="1" applyFill="1" applyBorder="1" applyAlignment="1">
      <alignment horizontal="center"/>
    </xf>
    <xf numFmtId="170" fontId="4" fillId="0" borderId="5" xfId="1" applyNumberFormat="1" applyFont="1" applyFill="1" applyBorder="1" applyAlignment="1">
      <alignment horizontal="center"/>
    </xf>
    <xf numFmtId="170" fontId="4" fillId="0" borderId="2" xfId="1" applyNumberFormat="1" applyFont="1" applyFill="1" applyBorder="1" applyAlignment="1">
      <alignment horizontal="center"/>
    </xf>
    <xf numFmtId="167" fontId="6" fillId="0" borderId="7" xfId="1" applyNumberFormat="1" applyFont="1" applyFill="1" applyBorder="1" applyAlignment="1">
      <alignment horizontal="center"/>
    </xf>
    <xf numFmtId="167" fontId="6" fillId="0" borderId="5" xfId="1" applyNumberFormat="1" applyFont="1" applyFill="1" applyBorder="1" applyAlignment="1">
      <alignment horizontal="center"/>
    </xf>
    <xf numFmtId="167" fontId="6" fillId="0" borderId="2" xfId="1" applyNumberFormat="1" applyFont="1" applyFill="1" applyBorder="1" applyAlignment="1">
      <alignment horizontal="center"/>
    </xf>
    <xf numFmtId="0" fontId="6" fillId="5" borderId="7" xfId="1" applyFont="1" applyFill="1" applyBorder="1" applyAlignment="1">
      <alignment horizontal="center"/>
    </xf>
    <xf numFmtId="2" fontId="6" fillId="5" borderId="7" xfId="1" applyNumberFormat="1" applyFont="1" applyFill="1" applyBorder="1" applyAlignment="1">
      <alignment horizontal="center"/>
    </xf>
    <xf numFmtId="2" fontId="6" fillId="0" borderId="7" xfId="1" applyNumberFormat="1" applyFont="1" applyFill="1" applyBorder="1" applyAlignment="1">
      <alignment horizontal="center"/>
    </xf>
    <xf numFmtId="0" fontId="6" fillId="6" borderId="7" xfId="1" applyFont="1" applyFill="1" applyBorder="1" applyAlignment="1">
      <alignment horizontal="center"/>
    </xf>
    <xf numFmtId="0" fontId="6" fillId="0" borderId="2" xfId="1" applyFont="1" applyBorder="1" applyAlignment="1">
      <alignment horizontal="center"/>
    </xf>
    <xf numFmtId="0" fontId="4" fillId="0" borderId="7" xfId="1" applyFont="1" applyBorder="1" applyAlignment="1">
      <alignment horizontal="center" vertical="center"/>
    </xf>
    <xf numFmtId="166" fontId="6" fillId="5" borderId="7" xfId="1" applyNumberFormat="1" applyFont="1" applyFill="1" applyBorder="1" applyAlignment="1">
      <alignment horizontal="center"/>
    </xf>
    <xf numFmtId="14" fontId="2" fillId="0" borderId="5" xfId="1" applyNumberFormat="1" applyFont="1" applyBorder="1" applyAlignment="1">
      <alignment horizontal="center"/>
    </xf>
    <xf numFmtId="14" fontId="2" fillId="0" borderId="1" xfId="1" applyNumberFormat="1" applyFont="1" applyBorder="1" applyAlignment="1">
      <alignment horizontal="center"/>
    </xf>
    <xf numFmtId="14" fontId="2" fillId="0" borderId="2" xfId="1" applyNumberFormat="1" applyFont="1" applyBorder="1" applyAlignment="1">
      <alignment horizontal="center"/>
    </xf>
    <xf numFmtId="0" fontId="4" fillId="0" borderId="5" xfId="1" applyFont="1" applyBorder="1" applyAlignment="1">
      <alignment horizontal="center"/>
    </xf>
    <xf numFmtId="0" fontId="4" fillId="0" borderId="1" xfId="1" applyFont="1" applyBorder="1" applyAlignment="1">
      <alignment horizontal="center"/>
    </xf>
    <xf numFmtId="0" fontId="4" fillId="0" borderId="2" xfId="1" applyFont="1" applyBorder="1" applyAlignment="1">
      <alignment horizontal="center"/>
    </xf>
    <xf numFmtId="0" fontId="2" fillId="0" borderId="5" xfId="1" applyFont="1" applyBorder="1" applyAlignment="1">
      <alignment horizontal="center"/>
    </xf>
    <xf numFmtId="0" fontId="2" fillId="0" borderId="1" xfId="1" applyFont="1" applyBorder="1" applyAlignment="1">
      <alignment horizontal="center"/>
    </xf>
    <xf numFmtId="0" fontId="2" fillId="0" borderId="2" xfId="1" applyFont="1" applyBorder="1" applyAlignment="1">
      <alignment horizontal="center"/>
    </xf>
    <xf numFmtId="169" fontId="4" fillId="0" borderId="5" xfId="1" applyNumberFormat="1" applyFont="1" applyFill="1" applyBorder="1" applyAlignment="1">
      <alignment horizontal="center"/>
    </xf>
    <xf numFmtId="169" fontId="4" fillId="0" borderId="2" xfId="1" applyNumberFormat="1" applyFont="1" applyFill="1" applyBorder="1" applyAlignment="1">
      <alignment horizontal="center"/>
    </xf>
    <xf numFmtId="0" fontId="4" fillId="0" borderId="6" xfId="1" applyFont="1" applyBorder="1" applyAlignment="1">
      <alignment horizontal="center" vertical="center"/>
    </xf>
    <xf numFmtId="0" fontId="4" fillId="0" borderId="9" xfId="1" applyFont="1" applyBorder="1" applyAlignment="1">
      <alignment horizontal="center" vertical="center"/>
    </xf>
    <xf numFmtId="0" fontId="4" fillId="0" borderId="4" xfId="1" applyFont="1" applyBorder="1" applyAlignment="1">
      <alignment horizontal="center" vertical="center"/>
    </xf>
    <xf numFmtId="0" fontId="4" fillId="0" borderId="10" xfId="1" applyFont="1" applyBorder="1" applyAlignment="1">
      <alignment horizontal="center" vertical="center"/>
    </xf>
    <xf numFmtId="0" fontId="2" fillId="0" borderId="5" xfId="1" applyFont="1" applyBorder="1" applyAlignment="1">
      <alignment horizontal="left"/>
    </xf>
    <xf numFmtId="0" fontId="2" fillId="0" borderId="1" xfId="1" applyFont="1" applyBorder="1" applyAlignment="1">
      <alignment horizontal="left"/>
    </xf>
    <xf numFmtId="0" fontId="2" fillId="0" borderId="2" xfId="1" applyFont="1" applyBorder="1" applyAlignment="1">
      <alignment horizontal="left"/>
    </xf>
    <xf numFmtId="0" fontId="6" fillId="0" borderId="0" xfId="1" applyFont="1" applyAlignment="1">
      <alignment horizontal="center"/>
    </xf>
    <xf numFmtId="0" fontId="7" fillId="0" borderId="12" xfId="1" applyFont="1" applyBorder="1" applyAlignment="1">
      <alignment horizontal="center" vertical="center" textRotation="90"/>
    </xf>
    <xf numFmtId="0" fontId="7" fillId="0" borderId="11" xfId="1" applyFont="1" applyBorder="1" applyAlignment="1">
      <alignment horizontal="center" vertical="center" textRotation="90"/>
    </xf>
    <xf numFmtId="0" fontId="4" fillId="0" borderId="8" xfId="1" applyFont="1" applyBorder="1" applyAlignment="1">
      <alignment horizontal="center" vertical="center"/>
    </xf>
    <xf numFmtId="0" fontId="4" fillId="0" borderId="3" xfId="1" applyFont="1" applyBorder="1" applyAlignment="1">
      <alignment horizontal="center" vertical="center"/>
    </xf>
    <xf numFmtId="164" fontId="2" fillId="4" borderId="7" xfId="1" applyNumberFormat="1" applyFont="1" applyFill="1" applyBorder="1" applyAlignment="1">
      <alignment horizontal="center"/>
    </xf>
    <xf numFmtId="4" fontId="2" fillId="0" borderId="5" xfId="1" applyNumberFormat="1" applyFont="1" applyBorder="1" applyAlignment="1">
      <alignment horizontal="center"/>
    </xf>
    <xf numFmtId="4" fontId="2" fillId="0" borderId="1" xfId="1" applyNumberFormat="1" applyFont="1" applyBorder="1" applyAlignment="1">
      <alignment horizontal="center"/>
    </xf>
    <xf numFmtId="4" fontId="2" fillId="0" borderId="2" xfId="1" applyNumberFormat="1" applyFont="1" applyBorder="1" applyAlignment="1">
      <alignment horizontal="center"/>
    </xf>
    <xf numFmtId="14" fontId="2" fillId="0" borderId="7" xfId="1" applyNumberFormat="1" applyFont="1" applyBorder="1" applyAlignment="1">
      <alignment horizontal="center"/>
    </xf>
    <xf numFmtId="0" fontId="2" fillId="0" borderId="7" xfId="1" applyFont="1" applyBorder="1" applyAlignment="1">
      <alignment horizontal="center"/>
    </xf>
    <xf numFmtId="166" fontId="2" fillId="4" borderId="7" xfId="1" applyNumberFormat="1" applyFont="1" applyFill="1" applyBorder="1" applyAlignment="1">
      <alignment horizontal="center"/>
    </xf>
    <xf numFmtId="49" fontId="10" fillId="0" borderId="5" xfId="1" applyNumberFormat="1" applyFont="1" applyBorder="1" applyAlignment="1">
      <alignment horizontal="center"/>
    </xf>
    <xf numFmtId="49" fontId="5" fillId="0" borderId="1" xfId="1" applyNumberFormat="1" applyFont="1" applyBorder="1" applyAlignment="1">
      <alignment horizontal="center"/>
    </xf>
    <xf numFmtId="49" fontId="5" fillId="0" borderId="2" xfId="1" applyNumberFormat="1" applyFont="1" applyBorder="1" applyAlignment="1">
      <alignment horizontal="center"/>
    </xf>
    <xf numFmtId="0" fontId="2" fillId="0" borderId="0" xfId="1" applyFont="1" applyBorder="1" applyAlignment="1">
      <alignment horizontal="center"/>
    </xf>
    <xf numFmtId="0" fontId="3" fillId="0" borderId="7" xfId="1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47625</xdr:rowOff>
    </xdr:from>
    <xdr:to>
      <xdr:col>3</xdr:col>
      <xdr:colOff>152400</xdr:colOff>
      <xdr:row>3</xdr:row>
      <xdr:rowOff>0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0" y="47625"/>
          <a:ext cx="876300" cy="552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pageSetUpPr fitToPage="1"/>
  </sheetPr>
  <dimension ref="A1:BI76"/>
  <sheetViews>
    <sheetView tabSelected="1" workbookViewId="0">
      <selection activeCell="A67" sqref="A67:B67"/>
    </sheetView>
  </sheetViews>
  <sheetFormatPr defaultColWidth="2.85546875" defaultRowHeight="12.75"/>
  <cols>
    <col min="1" max="1" width="3.85546875" style="8" customWidth="1"/>
    <col min="2" max="2" width="3.5703125" style="8" customWidth="1"/>
    <col min="3" max="12" width="3.42578125" style="8" customWidth="1"/>
    <col min="13" max="14" width="2.85546875" style="8"/>
    <col min="15" max="15" width="2.28515625" style="8" customWidth="1"/>
    <col min="16" max="18" width="2.85546875" style="8"/>
    <col min="19" max="19" width="2.42578125" style="8" customWidth="1"/>
    <col min="20" max="26" width="2.85546875" style="8"/>
    <col min="27" max="27" width="5.28515625" style="8" customWidth="1"/>
    <col min="28" max="29" width="2.85546875" style="8"/>
    <col min="30" max="30" width="2.85546875" style="8" customWidth="1"/>
    <col min="31" max="31" width="2.85546875" style="8"/>
    <col min="32" max="32" width="4.5703125" style="8" customWidth="1"/>
    <col min="33" max="33" width="2.85546875" style="8"/>
    <col min="34" max="34" width="2.42578125" style="8" customWidth="1"/>
    <col min="35" max="37" width="2.85546875" style="8"/>
    <col min="38" max="38" width="2" style="8" customWidth="1"/>
    <col min="39" max="39" width="2.85546875" style="8"/>
    <col min="40" max="40" width="3.5703125" style="8" customWidth="1"/>
    <col min="41" max="41" width="2.85546875" style="8"/>
    <col min="42" max="42" width="2.28515625" style="8" customWidth="1"/>
    <col min="43" max="59" width="2.85546875" style="8"/>
    <col min="60" max="60" width="1.85546875" style="8" customWidth="1"/>
    <col min="61" max="61" width="2.85546875" style="8" hidden="1" customWidth="1"/>
    <col min="62" max="62" width="7.5703125" style="8" customWidth="1"/>
    <col min="63" max="256" width="2.85546875" style="8"/>
    <col min="257" max="257" width="3.85546875" style="8" customWidth="1"/>
    <col min="258" max="258" width="3.5703125" style="8" customWidth="1"/>
    <col min="259" max="268" width="3.42578125" style="8" customWidth="1"/>
    <col min="269" max="270" width="2.85546875" style="8"/>
    <col min="271" max="271" width="2.28515625" style="8" customWidth="1"/>
    <col min="272" max="274" width="2.85546875" style="8"/>
    <col min="275" max="275" width="2.42578125" style="8" customWidth="1"/>
    <col min="276" max="282" width="2.85546875" style="8"/>
    <col min="283" max="283" width="5.28515625" style="8" customWidth="1"/>
    <col min="284" max="285" width="2.85546875" style="8"/>
    <col min="286" max="286" width="2.85546875" style="8" customWidth="1"/>
    <col min="287" max="287" width="2.85546875" style="8"/>
    <col min="288" max="288" width="4.5703125" style="8" customWidth="1"/>
    <col min="289" max="289" width="2.85546875" style="8"/>
    <col min="290" max="290" width="2.42578125" style="8" customWidth="1"/>
    <col min="291" max="293" width="2.85546875" style="8"/>
    <col min="294" max="294" width="2" style="8" customWidth="1"/>
    <col min="295" max="295" width="2.85546875" style="8"/>
    <col min="296" max="296" width="3.5703125" style="8" customWidth="1"/>
    <col min="297" max="297" width="2.85546875" style="8"/>
    <col min="298" max="298" width="2.28515625" style="8" customWidth="1"/>
    <col min="299" max="512" width="2.85546875" style="8"/>
    <col min="513" max="513" width="3.85546875" style="8" customWidth="1"/>
    <col min="514" max="514" width="3.5703125" style="8" customWidth="1"/>
    <col min="515" max="524" width="3.42578125" style="8" customWidth="1"/>
    <col min="525" max="526" width="2.85546875" style="8"/>
    <col min="527" max="527" width="2.28515625" style="8" customWidth="1"/>
    <col min="528" max="530" width="2.85546875" style="8"/>
    <col min="531" max="531" width="2.42578125" style="8" customWidth="1"/>
    <col min="532" max="538" width="2.85546875" style="8"/>
    <col min="539" max="539" width="5.28515625" style="8" customWidth="1"/>
    <col min="540" max="541" width="2.85546875" style="8"/>
    <col min="542" max="542" width="2.85546875" style="8" customWidth="1"/>
    <col min="543" max="543" width="2.85546875" style="8"/>
    <col min="544" max="544" width="4.5703125" style="8" customWidth="1"/>
    <col min="545" max="545" width="2.85546875" style="8"/>
    <col min="546" max="546" width="2.42578125" style="8" customWidth="1"/>
    <col min="547" max="549" width="2.85546875" style="8"/>
    <col min="550" max="550" width="2" style="8" customWidth="1"/>
    <col min="551" max="551" width="2.85546875" style="8"/>
    <col min="552" max="552" width="3.5703125" style="8" customWidth="1"/>
    <col min="553" max="553" width="2.85546875" style="8"/>
    <col min="554" max="554" width="2.28515625" style="8" customWidth="1"/>
    <col min="555" max="768" width="2.85546875" style="8"/>
    <col min="769" max="769" width="3.85546875" style="8" customWidth="1"/>
    <col min="770" max="770" width="3.5703125" style="8" customWidth="1"/>
    <col min="771" max="780" width="3.42578125" style="8" customWidth="1"/>
    <col min="781" max="782" width="2.85546875" style="8"/>
    <col min="783" max="783" width="2.28515625" style="8" customWidth="1"/>
    <col min="784" max="786" width="2.85546875" style="8"/>
    <col min="787" max="787" width="2.42578125" style="8" customWidth="1"/>
    <col min="788" max="794" width="2.85546875" style="8"/>
    <col min="795" max="795" width="5.28515625" style="8" customWidth="1"/>
    <col min="796" max="797" width="2.85546875" style="8"/>
    <col min="798" max="798" width="2.85546875" style="8" customWidth="1"/>
    <col min="799" max="799" width="2.85546875" style="8"/>
    <col min="800" max="800" width="4.5703125" style="8" customWidth="1"/>
    <col min="801" max="801" width="2.85546875" style="8"/>
    <col min="802" max="802" width="2.42578125" style="8" customWidth="1"/>
    <col min="803" max="805" width="2.85546875" style="8"/>
    <col min="806" max="806" width="2" style="8" customWidth="1"/>
    <col min="807" max="807" width="2.85546875" style="8"/>
    <col min="808" max="808" width="3.5703125" style="8" customWidth="1"/>
    <col min="809" max="809" width="2.85546875" style="8"/>
    <col min="810" max="810" width="2.28515625" style="8" customWidth="1"/>
    <col min="811" max="1024" width="2.85546875" style="8"/>
    <col min="1025" max="1025" width="3.85546875" style="8" customWidth="1"/>
    <col min="1026" max="1026" width="3.5703125" style="8" customWidth="1"/>
    <col min="1027" max="1036" width="3.42578125" style="8" customWidth="1"/>
    <col min="1037" max="1038" width="2.85546875" style="8"/>
    <col min="1039" max="1039" width="2.28515625" style="8" customWidth="1"/>
    <col min="1040" max="1042" width="2.85546875" style="8"/>
    <col min="1043" max="1043" width="2.42578125" style="8" customWidth="1"/>
    <col min="1044" max="1050" width="2.85546875" style="8"/>
    <col min="1051" max="1051" width="5.28515625" style="8" customWidth="1"/>
    <col min="1052" max="1053" width="2.85546875" style="8"/>
    <col min="1054" max="1054" width="2.85546875" style="8" customWidth="1"/>
    <col min="1055" max="1055" width="2.85546875" style="8"/>
    <col min="1056" max="1056" width="4.5703125" style="8" customWidth="1"/>
    <col min="1057" max="1057" width="2.85546875" style="8"/>
    <col min="1058" max="1058" width="2.42578125" style="8" customWidth="1"/>
    <col min="1059" max="1061" width="2.85546875" style="8"/>
    <col min="1062" max="1062" width="2" style="8" customWidth="1"/>
    <col min="1063" max="1063" width="2.85546875" style="8"/>
    <col min="1064" max="1064" width="3.5703125" style="8" customWidth="1"/>
    <col min="1065" max="1065" width="2.85546875" style="8"/>
    <col min="1066" max="1066" width="2.28515625" style="8" customWidth="1"/>
    <col min="1067" max="1280" width="2.85546875" style="8"/>
    <col min="1281" max="1281" width="3.85546875" style="8" customWidth="1"/>
    <col min="1282" max="1282" width="3.5703125" style="8" customWidth="1"/>
    <col min="1283" max="1292" width="3.42578125" style="8" customWidth="1"/>
    <col min="1293" max="1294" width="2.85546875" style="8"/>
    <col min="1295" max="1295" width="2.28515625" style="8" customWidth="1"/>
    <col min="1296" max="1298" width="2.85546875" style="8"/>
    <col min="1299" max="1299" width="2.42578125" style="8" customWidth="1"/>
    <col min="1300" max="1306" width="2.85546875" style="8"/>
    <col min="1307" max="1307" width="5.28515625" style="8" customWidth="1"/>
    <col min="1308" max="1309" width="2.85546875" style="8"/>
    <col min="1310" max="1310" width="2.85546875" style="8" customWidth="1"/>
    <col min="1311" max="1311" width="2.85546875" style="8"/>
    <col min="1312" max="1312" width="4.5703125" style="8" customWidth="1"/>
    <col min="1313" max="1313" width="2.85546875" style="8"/>
    <col min="1314" max="1314" width="2.42578125" style="8" customWidth="1"/>
    <col min="1315" max="1317" width="2.85546875" style="8"/>
    <col min="1318" max="1318" width="2" style="8" customWidth="1"/>
    <col min="1319" max="1319" width="2.85546875" style="8"/>
    <col min="1320" max="1320" width="3.5703125" style="8" customWidth="1"/>
    <col min="1321" max="1321" width="2.85546875" style="8"/>
    <col min="1322" max="1322" width="2.28515625" style="8" customWidth="1"/>
    <col min="1323" max="1536" width="2.85546875" style="8"/>
    <col min="1537" max="1537" width="3.85546875" style="8" customWidth="1"/>
    <col min="1538" max="1538" width="3.5703125" style="8" customWidth="1"/>
    <col min="1539" max="1548" width="3.42578125" style="8" customWidth="1"/>
    <col min="1549" max="1550" width="2.85546875" style="8"/>
    <col min="1551" max="1551" width="2.28515625" style="8" customWidth="1"/>
    <col min="1552" max="1554" width="2.85546875" style="8"/>
    <col min="1555" max="1555" width="2.42578125" style="8" customWidth="1"/>
    <col min="1556" max="1562" width="2.85546875" style="8"/>
    <col min="1563" max="1563" width="5.28515625" style="8" customWidth="1"/>
    <col min="1564" max="1565" width="2.85546875" style="8"/>
    <col min="1566" max="1566" width="2.85546875" style="8" customWidth="1"/>
    <col min="1567" max="1567" width="2.85546875" style="8"/>
    <col min="1568" max="1568" width="4.5703125" style="8" customWidth="1"/>
    <col min="1569" max="1569" width="2.85546875" style="8"/>
    <col min="1570" max="1570" width="2.42578125" style="8" customWidth="1"/>
    <col min="1571" max="1573" width="2.85546875" style="8"/>
    <col min="1574" max="1574" width="2" style="8" customWidth="1"/>
    <col min="1575" max="1575" width="2.85546875" style="8"/>
    <col min="1576" max="1576" width="3.5703125" style="8" customWidth="1"/>
    <col min="1577" max="1577" width="2.85546875" style="8"/>
    <col min="1578" max="1578" width="2.28515625" style="8" customWidth="1"/>
    <col min="1579" max="1792" width="2.85546875" style="8"/>
    <col min="1793" max="1793" width="3.85546875" style="8" customWidth="1"/>
    <col min="1794" max="1794" width="3.5703125" style="8" customWidth="1"/>
    <col min="1795" max="1804" width="3.42578125" style="8" customWidth="1"/>
    <col min="1805" max="1806" width="2.85546875" style="8"/>
    <col min="1807" max="1807" width="2.28515625" style="8" customWidth="1"/>
    <col min="1808" max="1810" width="2.85546875" style="8"/>
    <col min="1811" max="1811" width="2.42578125" style="8" customWidth="1"/>
    <col min="1812" max="1818" width="2.85546875" style="8"/>
    <col min="1819" max="1819" width="5.28515625" style="8" customWidth="1"/>
    <col min="1820" max="1821" width="2.85546875" style="8"/>
    <col min="1822" max="1822" width="2.85546875" style="8" customWidth="1"/>
    <col min="1823" max="1823" width="2.85546875" style="8"/>
    <col min="1824" max="1824" width="4.5703125" style="8" customWidth="1"/>
    <col min="1825" max="1825" width="2.85546875" style="8"/>
    <col min="1826" max="1826" width="2.42578125" style="8" customWidth="1"/>
    <col min="1827" max="1829" width="2.85546875" style="8"/>
    <col min="1830" max="1830" width="2" style="8" customWidth="1"/>
    <col min="1831" max="1831" width="2.85546875" style="8"/>
    <col min="1832" max="1832" width="3.5703125" style="8" customWidth="1"/>
    <col min="1833" max="1833" width="2.85546875" style="8"/>
    <col min="1834" max="1834" width="2.28515625" style="8" customWidth="1"/>
    <col min="1835" max="2048" width="2.85546875" style="8"/>
    <col min="2049" max="2049" width="3.85546875" style="8" customWidth="1"/>
    <col min="2050" max="2050" width="3.5703125" style="8" customWidth="1"/>
    <col min="2051" max="2060" width="3.42578125" style="8" customWidth="1"/>
    <col min="2061" max="2062" width="2.85546875" style="8"/>
    <col min="2063" max="2063" width="2.28515625" style="8" customWidth="1"/>
    <col min="2064" max="2066" width="2.85546875" style="8"/>
    <col min="2067" max="2067" width="2.42578125" style="8" customWidth="1"/>
    <col min="2068" max="2074" width="2.85546875" style="8"/>
    <col min="2075" max="2075" width="5.28515625" style="8" customWidth="1"/>
    <col min="2076" max="2077" width="2.85546875" style="8"/>
    <col min="2078" max="2078" width="2.85546875" style="8" customWidth="1"/>
    <col min="2079" max="2079" width="2.85546875" style="8"/>
    <col min="2080" max="2080" width="4.5703125" style="8" customWidth="1"/>
    <col min="2081" max="2081" width="2.85546875" style="8"/>
    <col min="2082" max="2082" width="2.42578125" style="8" customWidth="1"/>
    <col min="2083" max="2085" width="2.85546875" style="8"/>
    <col min="2086" max="2086" width="2" style="8" customWidth="1"/>
    <col min="2087" max="2087" width="2.85546875" style="8"/>
    <col min="2088" max="2088" width="3.5703125" style="8" customWidth="1"/>
    <col min="2089" max="2089" width="2.85546875" style="8"/>
    <col min="2090" max="2090" width="2.28515625" style="8" customWidth="1"/>
    <col min="2091" max="2304" width="2.85546875" style="8"/>
    <col min="2305" max="2305" width="3.85546875" style="8" customWidth="1"/>
    <col min="2306" max="2306" width="3.5703125" style="8" customWidth="1"/>
    <col min="2307" max="2316" width="3.42578125" style="8" customWidth="1"/>
    <col min="2317" max="2318" width="2.85546875" style="8"/>
    <col min="2319" max="2319" width="2.28515625" style="8" customWidth="1"/>
    <col min="2320" max="2322" width="2.85546875" style="8"/>
    <col min="2323" max="2323" width="2.42578125" style="8" customWidth="1"/>
    <col min="2324" max="2330" width="2.85546875" style="8"/>
    <col min="2331" max="2331" width="5.28515625" style="8" customWidth="1"/>
    <col min="2332" max="2333" width="2.85546875" style="8"/>
    <col min="2334" max="2334" width="2.85546875" style="8" customWidth="1"/>
    <col min="2335" max="2335" width="2.85546875" style="8"/>
    <col min="2336" max="2336" width="4.5703125" style="8" customWidth="1"/>
    <col min="2337" max="2337" width="2.85546875" style="8"/>
    <col min="2338" max="2338" width="2.42578125" style="8" customWidth="1"/>
    <col min="2339" max="2341" width="2.85546875" style="8"/>
    <col min="2342" max="2342" width="2" style="8" customWidth="1"/>
    <col min="2343" max="2343" width="2.85546875" style="8"/>
    <col min="2344" max="2344" width="3.5703125" style="8" customWidth="1"/>
    <col min="2345" max="2345" width="2.85546875" style="8"/>
    <col min="2346" max="2346" width="2.28515625" style="8" customWidth="1"/>
    <col min="2347" max="2560" width="2.85546875" style="8"/>
    <col min="2561" max="2561" width="3.85546875" style="8" customWidth="1"/>
    <col min="2562" max="2562" width="3.5703125" style="8" customWidth="1"/>
    <col min="2563" max="2572" width="3.42578125" style="8" customWidth="1"/>
    <col min="2573" max="2574" width="2.85546875" style="8"/>
    <col min="2575" max="2575" width="2.28515625" style="8" customWidth="1"/>
    <col min="2576" max="2578" width="2.85546875" style="8"/>
    <col min="2579" max="2579" width="2.42578125" style="8" customWidth="1"/>
    <col min="2580" max="2586" width="2.85546875" style="8"/>
    <col min="2587" max="2587" width="5.28515625" style="8" customWidth="1"/>
    <col min="2588" max="2589" width="2.85546875" style="8"/>
    <col min="2590" max="2590" width="2.85546875" style="8" customWidth="1"/>
    <col min="2591" max="2591" width="2.85546875" style="8"/>
    <col min="2592" max="2592" width="4.5703125" style="8" customWidth="1"/>
    <col min="2593" max="2593" width="2.85546875" style="8"/>
    <col min="2594" max="2594" width="2.42578125" style="8" customWidth="1"/>
    <col min="2595" max="2597" width="2.85546875" style="8"/>
    <col min="2598" max="2598" width="2" style="8" customWidth="1"/>
    <col min="2599" max="2599" width="2.85546875" style="8"/>
    <col min="2600" max="2600" width="3.5703125" style="8" customWidth="1"/>
    <col min="2601" max="2601" width="2.85546875" style="8"/>
    <col min="2602" max="2602" width="2.28515625" style="8" customWidth="1"/>
    <col min="2603" max="2816" width="2.85546875" style="8"/>
    <col min="2817" max="2817" width="3.85546875" style="8" customWidth="1"/>
    <col min="2818" max="2818" width="3.5703125" style="8" customWidth="1"/>
    <col min="2819" max="2828" width="3.42578125" style="8" customWidth="1"/>
    <col min="2829" max="2830" width="2.85546875" style="8"/>
    <col min="2831" max="2831" width="2.28515625" style="8" customWidth="1"/>
    <col min="2832" max="2834" width="2.85546875" style="8"/>
    <col min="2835" max="2835" width="2.42578125" style="8" customWidth="1"/>
    <col min="2836" max="2842" width="2.85546875" style="8"/>
    <col min="2843" max="2843" width="5.28515625" style="8" customWidth="1"/>
    <col min="2844" max="2845" width="2.85546875" style="8"/>
    <col min="2846" max="2846" width="2.85546875" style="8" customWidth="1"/>
    <col min="2847" max="2847" width="2.85546875" style="8"/>
    <col min="2848" max="2848" width="4.5703125" style="8" customWidth="1"/>
    <col min="2849" max="2849" width="2.85546875" style="8"/>
    <col min="2850" max="2850" width="2.42578125" style="8" customWidth="1"/>
    <col min="2851" max="2853" width="2.85546875" style="8"/>
    <col min="2854" max="2854" width="2" style="8" customWidth="1"/>
    <col min="2855" max="2855" width="2.85546875" style="8"/>
    <col min="2856" max="2856" width="3.5703125" style="8" customWidth="1"/>
    <col min="2857" max="2857" width="2.85546875" style="8"/>
    <col min="2858" max="2858" width="2.28515625" style="8" customWidth="1"/>
    <col min="2859" max="3072" width="2.85546875" style="8"/>
    <col min="3073" max="3073" width="3.85546875" style="8" customWidth="1"/>
    <col min="3074" max="3074" width="3.5703125" style="8" customWidth="1"/>
    <col min="3075" max="3084" width="3.42578125" style="8" customWidth="1"/>
    <col min="3085" max="3086" width="2.85546875" style="8"/>
    <col min="3087" max="3087" width="2.28515625" style="8" customWidth="1"/>
    <col min="3088" max="3090" width="2.85546875" style="8"/>
    <col min="3091" max="3091" width="2.42578125" style="8" customWidth="1"/>
    <col min="3092" max="3098" width="2.85546875" style="8"/>
    <col min="3099" max="3099" width="5.28515625" style="8" customWidth="1"/>
    <col min="3100" max="3101" width="2.85546875" style="8"/>
    <col min="3102" max="3102" width="2.85546875" style="8" customWidth="1"/>
    <col min="3103" max="3103" width="2.85546875" style="8"/>
    <col min="3104" max="3104" width="4.5703125" style="8" customWidth="1"/>
    <col min="3105" max="3105" width="2.85546875" style="8"/>
    <col min="3106" max="3106" width="2.42578125" style="8" customWidth="1"/>
    <col min="3107" max="3109" width="2.85546875" style="8"/>
    <col min="3110" max="3110" width="2" style="8" customWidth="1"/>
    <col min="3111" max="3111" width="2.85546875" style="8"/>
    <col min="3112" max="3112" width="3.5703125" style="8" customWidth="1"/>
    <col min="3113" max="3113" width="2.85546875" style="8"/>
    <col min="3114" max="3114" width="2.28515625" style="8" customWidth="1"/>
    <col min="3115" max="3328" width="2.85546875" style="8"/>
    <col min="3329" max="3329" width="3.85546875" style="8" customWidth="1"/>
    <col min="3330" max="3330" width="3.5703125" style="8" customWidth="1"/>
    <col min="3331" max="3340" width="3.42578125" style="8" customWidth="1"/>
    <col min="3341" max="3342" width="2.85546875" style="8"/>
    <col min="3343" max="3343" width="2.28515625" style="8" customWidth="1"/>
    <col min="3344" max="3346" width="2.85546875" style="8"/>
    <col min="3347" max="3347" width="2.42578125" style="8" customWidth="1"/>
    <col min="3348" max="3354" width="2.85546875" style="8"/>
    <col min="3355" max="3355" width="5.28515625" style="8" customWidth="1"/>
    <col min="3356" max="3357" width="2.85546875" style="8"/>
    <col min="3358" max="3358" width="2.85546875" style="8" customWidth="1"/>
    <col min="3359" max="3359" width="2.85546875" style="8"/>
    <col min="3360" max="3360" width="4.5703125" style="8" customWidth="1"/>
    <col min="3361" max="3361" width="2.85546875" style="8"/>
    <col min="3362" max="3362" width="2.42578125" style="8" customWidth="1"/>
    <col min="3363" max="3365" width="2.85546875" style="8"/>
    <col min="3366" max="3366" width="2" style="8" customWidth="1"/>
    <col min="3367" max="3367" width="2.85546875" style="8"/>
    <col min="3368" max="3368" width="3.5703125" style="8" customWidth="1"/>
    <col min="3369" max="3369" width="2.85546875" style="8"/>
    <col min="3370" max="3370" width="2.28515625" style="8" customWidth="1"/>
    <col min="3371" max="3584" width="2.85546875" style="8"/>
    <col min="3585" max="3585" width="3.85546875" style="8" customWidth="1"/>
    <col min="3586" max="3586" width="3.5703125" style="8" customWidth="1"/>
    <col min="3587" max="3596" width="3.42578125" style="8" customWidth="1"/>
    <col min="3597" max="3598" width="2.85546875" style="8"/>
    <col min="3599" max="3599" width="2.28515625" style="8" customWidth="1"/>
    <col min="3600" max="3602" width="2.85546875" style="8"/>
    <col min="3603" max="3603" width="2.42578125" style="8" customWidth="1"/>
    <col min="3604" max="3610" width="2.85546875" style="8"/>
    <col min="3611" max="3611" width="5.28515625" style="8" customWidth="1"/>
    <col min="3612" max="3613" width="2.85546875" style="8"/>
    <col min="3614" max="3614" width="2.85546875" style="8" customWidth="1"/>
    <col min="3615" max="3615" width="2.85546875" style="8"/>
    <col min="3616" max="3616" width="4.5703125" style="8" customWidth="1"/>
    <col min="3617" max="3617" width="2.85546875" style="8"/>
    <col min="3618" max="3618" width="2.42578125" style="8" customWidth="1"/>
    <col min="3619" max="3621" width="2.85546875" style="8"/>
    <col min="3622" max="3622" width="2" style="8" customWidth="1"/>
    <col min="3623" max="3623" width="2.85546875" style="8"/>
    <col min="3624" max="3624" width="3.5703125" style="8" customWidth="1"/>
    <col min="3625" max="3625" width="2.85546875" style="8"/>
    <col min="3626" max="3626" width="2.28515625" style="8" customWidth="1"/>
    <col min="3627" max="3840" width="2.85546875" style="8"/>
    <col min="3841" max="3841" width="3.85546875" style="8" customWidth="1"/>
    <col min="3842" max="3842" width="3.5703125" style="8" customWidth="1"/>
    <col min="3843" max="3852" width="3.42578125" style="8" customWidth="1"/>
    <col min="3853" max="3854" width="2.85546875" style="8"/>
    <col min="3855" max="3855" width="2.28515625" style="8" customWidth="1"/>
    <col min="3856" max="3858" width="2.85546875" style="8"/>
    <col min="3859" max="3859" width="2.42578125" style="8" customWidth="1"/>
    <col min="3860" max="3866" width="2.85546875" style="8"/>
    <col min="3867" max="3867" width="5.28515625" style="8" customWidth="1"/>
    <col min="3868" max="3869" width="2.85546875" style="8"/>
    <col min="3870" max="3870" width="2.85546875" style="8" customWidth="1"/>
    <col min="3871" max="3871" width="2.85546875" style="8"/>
    <col min="3872" max="3872" width="4.5703125" style="8" customWidth="1"/>
    <col min="3873" max="3873" width="2.85546875" style="8"/>
    <col min="3874" max="3874" width="2.42578125" style="8" customWidth="1"/>
    <col min="3875" max="3877" width="2.85546875" style="8"/>
    <col min="3878" max="3878" width="2" style="8" customWidth="1"/>
    <col min="3879" max="3879" width="2.85546875" style="8"/>
    <col min="3880" max="3880" width="3.5703125" style="8" customWidth="1"/>
    <col min="3881" max="3881" width="2.85546875" style="8"/>
    <col min="3882" max="3882" width="2.28515625" style="8" customWidth="1"/>
    <col min="3883" max="4096" width="2.85546875" style="8"/>
    <col min="4097" max="4097" width="3.85546875" style="8" customWidth="1"/>
    <col min="4098" max="4098" width="3.5703125" style="8" customWidth="1"/>
    <col min="4099" max="4108" width="3.42578125" style="8" customWidth="1"/>
    <col min="4109" max="4110" width="2.85546875" style="8"/>
    <col min="4111" max="4111" width="2.28515625" style="8" customWidth="1"/>
    <col min="4112" max="4114" width="2.85546875" style="8"/>
    <col min="4115" max="4115" width="2.42578125" style="8" customWidth="1"/>
    <col min="4116" max="4122" width="2.85546875" style="8"/>
    <col min="4123" max="4123" width="5.28515625" style="8" customWidth="1"/>
    <col min="4124" max="4125" width="2.85546875" style="8"/>
    <col min="4126" max="4126" width="2.85546875" style="8" customWidth="1"/>
    <col min="4127" max="4127" width="2.85546875" style="8"/>
    <col min="4128" max="4128" width="4.5703125" style="8" customWidth="1"/>
    <col min="4129" max="4129" width="2.85546875" style="8"/>
    <col min="4130" max="4130" width="2.42578125" style="8" customWidth="1"/>
    <col min="4131" max="4133" width="2.85546875" style="8"/>
    <col min="4134" max="4134" width="2" style="8" customWidth="1"/>
    <col min="4135" max="4135" width="2.85546875" style="8"/>
    <col min="4136" max="4136" width="3.5703125" style="8" customWidth="1"/>
    <col min="4137" max="4137" width="2.85546875" style="8"/>
    <col min="4138" max="4138" width="2.28515625" style="8" customWidth="1"/>
    <col min="4139" max="4352" width="2.85546875" style="8"/>
    <col min="4353" max="4353" width="3.85546875" style="8" customWidth="1"/>
    <col min="4354" max="4354" width="3.5703125" style="8" customWidth="1"/>
    <col min="4355" max="4364" width="3.42578125" style="8" customWidth="1"/>
    <col min="4365" max="4366" width="2.85546875" style="8"/>
    <col min="4367" max="4367" width="2.28515625" style="8" customWidth="1"/>
    <col min="4368" max="4370" width="2.85546875" style="8"/>
    <col min="4371" max="4371" width="2.42578125" style="8" customWidth="1"/>
    <col min="4372" max="4378" width="2.85546875" style="8"/>
    <col min="4379" max="4379" width="5.28515625" style="8" customWidth="1"/>
    <col min="4380" max="4381" width="2.85546875" style="8"/>
    <col min="4382" max="4382" width="2.85546875" style="8" customWidth="1"/>
    <col min="4383" max="4383" width="2.85546875" style="8"/>
    <col min="4384" max="4384" width="4.5703125" style="8" customWidth="1"/>
    <col min="4385" max="4385" width="2.85546875" style="8"/>
    <col min="4386" max="4386" width="2.42578125" style="8" customWidth="1"/>
    <col min="4387" max="4389" width="2.85546875" style="8"/>
    <col min="4390" max="4390" width="2" style="8" customWidth="1"/>
    <col min="4391" max="4391" width="2.85546875" style="8"/>
    <col min="4392" max="4392" width="3.5703125" style="8" customWidth="1"/>
    <col min="4393" max="4393" width="2.85546875" style="8"/>
    <col min="4394" max="4394" width="2.28515625" style="8" customWidth="1"/>
    <col min="4395" max="4608" width="2.85546875" style="8"/>
    <col min="4609" max="4609" width="3.85546875" style="8" customWidth="1"/>
    <col min="4610" max="4610" width="3.5703125" style="8" customWidth="1"/>
    <col min="4611" max="4620" width="3.42578125" style="8" customWidth="1"/>
    <col min="4621" max="4622" width="2.85546875" style="8"/>
    <col min="4623" max="4623" width="2.28515625" style="8" customWidth="1"/>
    <col min="4624" max="4626" width="2.85546875" style="8"/>
    <col min="4627" max="4627" width="2.42578125" style="8" customWidth="1"/>
    <col min="4628" max="4634" width="2.85546875" style="8"/>
    <col min="4635" max="4635" width="5.28515625" style="8" customWidth="1"/>
    <col min="4636" max="4637" width="2.85546875" style="8"/>
    <col min="4638" max="4638" width="2.85546875" style="8" customWidth="1"/>
    <col min="4639" max="4639" width="2.85546875" style="8"/>
    <col min="4640" max="4640" width="4.5703125" style="8" customWidth="1"/>
    <col min="4641" max="4641" width="2.85546875" style="8"/>
    <col min="4642" max="4642" width="2.42578125" style="8" customWidth="1"/>
    <col min="4643" max="4645" width="2.85546875" style="8"/>
    <col min="4646" max="4646" width="2" style="8" customWidth="1"/>
    <col min="4647" max="4647" width="2.85546875" style="8"/>
    <col min="4648" max="4648" width="3.5703125" style="8" customWidth="1"/>
    <col min="4649" max="4649" width="2.85546875" style="8"/>
    <col min="4650" max="4650" width="2.28515625" style="8" customWidth="1"/>
    <col min="4651" max="4864" width="2.85546875" style="8"/>
    <col min="4865" max="4865" width="3.85546875" style="8" customWidth="1"/>
    <col min="4866" max="4866" width="3.5703125" style="8" customWidth="1"/>
    <col min="4867" max="4876" width="3.42578125" style="8" customWidth="1"/>
    <col min="4877" max="4878" width="2.85546875" style="8"/>
    <col min="4879" max="4879" width="2.28515625" style="8" customWidth="1"/>
    <col min="4880" max="4882" width="2.85546875" style="8"/>
    <col min="4883" max="4883" width="2.42578125" style="8" customWidth="1"/>
    <col min="4884" max="4890" width="2.85546875" style="8"/>
    <col min="4891" max="4891" width="5.28515625" style="8" customWidth="1"/>
    <col min="4892" max="4893" width="2.85546875" style="8"/>
    <col min="4894" max="4894" width="2.85546875" style="8" customWidth="1"/>
    <col min="4895" max="4895" width="2.85546875" style="8"/>
    <col min="4896" max="4896" width="4.5703125" style="8" customWidth="1"/>
    <col min="4897" max="4897" width="2.85546875" style="8"/>
    <col min="4898" max="4898" width="2.42578125" style="8" customWidth="1"/>
    <col min="4899" max="4901" width="2.85546875" style="8"/>
    <col min="4902" max="4902" width="2" style="8" customWidth="1"/>
    <col min="4903" max="4903" width="2.85546875" style="8"/>
    <col min="4904" max="4904" width="3.5703125" style="8" customWidth="1"/>
    <col min="4905" max="4905" width="2.85546875" style="8"/>
    <col min="4906" max="4906" width="2.28515625" style="8" customWidth="1"/>
    <col min="4907" max="5120" width="2.85546875" style="8"/>
    <col min="5121" max="5121" width="3.85546875" style="8" customWidth="1"/>
    <col min="5122" max="5122" width="3.5703125" style="8" customWidth="1"/>
    <col min="5123" max="5132" width="3.42578125" style="8" customWidth="1"/>
    <col min="5133" max="5134" width="2.85546875" style="8"/>
    <col min="5135" max="5135" width="2.28515625" style="8" customWidth="1"/>
    <col min="5136" max="5138" width="2.85546875" style="8"/>
    <col min="5139" max="5139" width="2.42578125" style="8" customWidth="1"/>
    <col min="5140" max="5146" width="2.85546875" style="8"/>
    <col min="5147" max="5147" width="5.28515625" style="8" customWidth="1"/>
    <col min="5148" max="5149" width="2.85546875" style="8"/>
    <col min="5150" max="5150" width="2.85546875" style="8" customWidth="1"/>
    <col min="5151" max="5151" width="2.85546875" style="8"/>
    <col min="5152" max="5152" width="4.5703125" style="8" customWidth="1"/>
    <col min="5153" max="5153" width="2.85546875" style="8"/>
    <col min="5154" max="5154" width="2.42578125" style="8" customWidth="1"/>
    <col min="5155" max="5157" width="2.85546875" style="8"/>
    <col min="5158" max="5158" width="2" style="8" customWidth="1"/>
    <col min="5159" max="5159" width="2.85546875" style="8"/>
    <col min="5160" max="5160" width="3.5703125" style="8" customWidth="1"/>
    <col min="5161" max="5161" width="2.85546875" style="8"/>
    <col min="5162" max="5162" width="2.28515625" style="8" customWidth="1"/>
    <col min="5163" max="5376" width="2.85546875" style="8"/>
    <col min="5377" max="5377" width="3.85546875" style="8" customWidth="1"/>
    <col min="5378" max="5378" width="3.5703125" style="8" customWidth="1"/>
    <col min="5379" max="5388" width="3.42578125" style="8" customWidth="1"/>
    <col min="5389" max="5390" width="2.85546875" style="8"/>
    <col min="5391" max="5391" width="2.28515625" style="8" customWidth="1"/>
    <col min="5392" max="5394" width="2.85546875" style="8"/>
    <col min="5395" max="5395" width="2.42578125" style="8" customWidth="1"/>
    <col min="5396" max="5402" width="2.85546875" style="8"/>
    <col min="5403" max="5403" width="5.28515625" style="8" customWidth="1"/>
    <col min="5404" max="5405" width="2.85546875" style="8"/>
    <col min="5406" max="5406" width="2.85546875" style="8" customWidth="1"/>
    <col min="5407" max="5407" width="2.85546875" style="8"/>
    <col min="5408" max="5408" width="4.5703125" style="8" customWidth="1"/>
    <col min="5409" max="5409" width="2.85546875" style="8"/>
    <col min="5410" max="5410" width="2.42578125" style="8" customWidth="1"/>
    <col min="5411" max="5413" width="2.85546875" style="8"/>
    <col min="5414" max="5414" width="2" style="8" customWidth="1"/>
    <col min="5415" max="5415" width="2.85546875" style="8"/>
    <col min="5416" max="5416" width="3.5703125" style="8" customWidth="1"/>
    <col min="5417" max="5417" width="2.85546875" style="8"/>
    <col min="5418" max="5418" width="2.28515625" style="8" customWidth="1"/>
    <col min="5419" max="5632" width="2.85546875" style="8"/>
    <col min="5633" max="5633" width="3.85546875" style="8" customWidth="1"/>
    <col min="5634" max="5634" width="3.5703125" style="8" customWidth="1"/>
    <col min="5635" max="5644" width="3.42578125" style="8" customWidth="1"/>
    <col min="5645" max="5646" width="2.85546875" style="8"/>
    <col min="5647" max="5647" width="2.28515625" style="8" customWidth="1"/>
    <col min="5648" max="5650" width="2.85546875" style="8"/>
    <col min="5651" max="5651" width="2.42578125" style="8" customWidth="1"/>
    <col min="5652" max="5658" width="2.85546875" style="8"/>
    <col min="5659" max="5659" width="5.28515625" style="8" customWidth="1"/>
    <col min="5660" max="5661" width="2.85546875" style="8"/>
    <col min="5662" max="5662" width="2.85546875" style="8" customWidth="1"/>
    <col min="5663" max="5663" width="2.85546875" style="8"/>
    <col min="5664" max="5664" width="4.5703125" style="8" customWidth="1"/>
    <col min="5665" max="5665" width="2.85546875" style="8"/>
    <col min="5666" max="5666" width="2.42578125" style="8" customWidth="1"/>
    <col min="5667" max="5669" width="2.85546875" style="8"/>
    <col min="5670" max="5670" width="2" style="8" customWidth="1"/>
    <col min="5671" max="5671" width="2.85546875" style="8"/>
    <col min="5672" max="5672" width="3.5703125" style="8" customWidth="1"/>
    <col min="5673" max="5673" width="2.85546875" style="8"/>
    <col min="5674" max="5674" width="2.28515625" style="8" customWidth="1"/>
    <col min="5675" max="5888" width="2.85546875" style="8"/>
    <col min="5889" max="5889" width="3.85546875" style="8" customWidth="1"/>
    <col min="5890" max="5890" width="3.5703125" style="8" customWidth="1"/>
    <col min="5891" max="5900" width="3.42578125" style="8" customWidth="1"/>
    <col min="5901" max="5902" width="2.85546875" style="8"/>
    <col min="5903" max="5903" width="2.28515625" style="8" customWidth="1"/>
    <col min="5904" max="5906" width="2.85546875" style="8"/>
    <col min="5907" max="5907" width="2.42578125" style="8" customWidth="1"/>
    <col min="5908" max="5914" width="2.85546875" style="8"/>
    <col min="5915" max="5915" width="5.28515625" style="8" customWidth="1"/>
    <col min="5916" max="5917" width="2.85546875" style="8"/>
    <col min="5918" max="5918" width="2.85546875" style="8" customWidth="1"/>
    <col min="5919" max="5919" width="2.85546875" style="8"/>
    <col min="5920" max="5920" width="4.5703125" style="8" customWidth="1"/>
    <col min="5921" max="5921" width="2.85546875" style="8"/>
    <col min="5922" max="5922" width="2.42578125" style="8" customWidth="1"/>
    <col min="5923" max="5925" width="2.85546875" style="8"/>
    <col min="5926" max="5926" width="2" style="8" customWidth="1"/>
    <col min="5927" max="5927" width="2.85546875" style="8"/>
    <col min="5928" max="5928" width="3.5703125" style="8" customWidth="1"/>
    <col min="5929" max="5929" width="2.85546875" style="8"/>
    <col min="5930" max="5930" width="2.28515625" style="8" customWidth="1"/>
    <col min="5931" max="6144" width="2.85546875" style="8"/>
    <col min="6145" max="6145" width="3.85546875" style="8" customWidth="1"/>
    <col min="6146" max="6146" width="3.5703125" style="8" customWidth="1"/>
    <col min="6147" max="6156" width="3.42578125" style="8" customWidth="1"/>
    <col min="6157" max="6158" width="2.85546875" style="8"/>
    <col min="6159" max="6159" width="2.28515625" style="8" customWidth="1"/>
    <col min="6160" max="6162" width="2.85546875" style="8"/>
    <col min="6163" max="6163" width="2.42578125" style="8" customWidth="1"/>
    <col min="6164" max="6170" width="2.85546875" style="8"/>
    <col min="6171" max="6171" width="5.28515625" style="8" customWidth="1"/>
    <col min="6172" max="6173" width="2.85546875" style="8"/>
    <col min="6174" max="6174" width="2.85546875" style="8" customWidth="1"/>
    <col min="6175" max="6175" width="2.85546875" style="8"/>
    <col min="6176" max="6176" width="4.5703125" style="8" customWidth="1"/>
    <col min="6177" max="6177" width="2.85546875" style="8"/>
    <col min="6178" max="6178" width="2.42578125" style="8" customWidth="1"/>
    <col min="6179" max="6181" width="2.85546875" style="8"/>
    <col min="6182" max="6182" width="2" style="8" customWidth="1"/>
    <col min="6183" max="6183" width="2.85546875" style="8"/>
    <col min="6184" max="6184" width="3.5703125" style="8" customWidth="1"/>
    <col min="6185" max="6185" width="2.85546875" style="8"/>
    <col min="6186" max="6186" width="2.28515625" style="8" customWidth="1"/>
    <col min="6187" max="6400" width="2.85546875" style="8"/>
    <col min="6401" max="6401" width="3.85546875" style="8" customWidth="1"/>
    <col min="6402" max="6402" width="3.5703125" style="8" customWidth="1"/>
    <col min="6403" max="6412" width="3.42578125" style="8" customWidth="1"/>
    <col min="6413" max="6414" width="2.85546875" style="8"/>
    <col min="6415" max="6415" width="2.28515625" style="8" customWidth="1"/>
    <col min="6416" max="6418" width="2.85546875" style="8"/>
    <col min="6419" max="6419" width="2.42578125" style="8" customWidth="1"/>
    <col min="6420" max="6426" width="2.85546875" style="8"/>
    <col min="6427" max="6427" width="5.28515625" style="8" customWidth="1"/>
    <col min="6428" max="6429" width="2.85546875" style="8"/>
    <col min="6430" max="6430" width="2.85546875" style="8" customWidth="1"/>
    <col min="6431" max="6431" width="2.85546875" style="8"/>
    <col min="6432" max="6432" width="4.5703125" style="8" customWidth="1"/>
    <col min="6433" max="6433" width="2.85546875" style="8"/>
    <col min="6434" max="6434" width="2.42578125" style="8" customWidth="1"/>
    <col min="6435" max="6437" width="2.85546875" style="8"/>
    <col min="6438" max="6438" width="2" style="8" customWidth="1"/>
    <col min="6439" max="6439" width="2.85546875" style="8"/>
    <col min="6440" max="6440" width="3.5703125" style="8" customWidth="1"/>
    <col min="6441" max="6441" width="2.85546875" style="8"/>
    <col min="6442" max="6442" width="2.28515625" style="8" customWidth="1"/>
    <col min="6443" max="6656" width="2.85546875" style="8"/>
    <col min="6657" max="6657" width="3.85546875" style="8" customWidth="1"/>
    <col min="6658" max="6658" width="3.5703125" style="8" customWidth="1"/>
    <col min="6659" max="6668" width="3.42578125" style="8" customWidth="1"/>
    <col min="6669" max="6670" width="2.85546875" style="8"/>
    <col min="6671" max="6671" width="2.28515625" style="8" customWidth="1"/>
    <col min="6672" max="6674" width="2.85546875" style="8"/>
    <col min="6675" max="6675" width="2.42578125" style="8" customWidth="1"/>
    <col min="6676" max="6682" width="2.85546875" style="8"/>
    <col min="6683" max="6683" width="5.28515625" style="8" customWidth="1"/>
    <col min="6684" max="6685" width="2.85546875" style="8"/>
    <col min="6686" max="6686" width="2.85546875" style="8" customWidth="1"/>
    <col min="6687" max="6687" width="2.85546875" style="8"/>
    <col min="6688" max="6688" width="4.5703125" style="8" customWidth="1"/>
    <col min="6689" max="6689" width="2.85546875" style="8"/>
    <col min="6690" max="6690" width="2.42578125" style="8" customWidth="1"/>
    <col min="6691" max="6693" width="2.85546875" style="8"/>
    <col min="6694" max="6694" width="2" style="8" customWidth="1"/>
    <col min="6695" max="6695" width="2.85546875" style="8"/>
    <col min="6696" max="6696" width="3.5703125" style="8" customWidth="1"/>
    <col min="6697" max="6697" width="2.85546875" style="8"/>
    <col min="6698" max="6698" width="2.28515625" style="8" customWidth="1"/>
    <col min="6699" max="6912" width="2.85546875" style="8"/>
    <col min="6913" max="6913" width="3.85546875" style="8" customWidth="1"/>
    <col min="6914" max="6914" width="3.5703125" style="8" customWidth="1"/>
    <col min="6915" max="6924" width="3.42578125" style="8" customWidth="1"/>
    <col min="6925" max="6926" width="2.85546875" style="8"/>
    <col min="6927" max="6927" width="2.28515625" style="8" customWidth="1"/>
    <col min="6928" max="6930" width="2.85546875" style="8"/>
    <col min="6931" max="6931" width="2.42578125" style="8" customWidth="1"/>
    <col min="6932" max="6938" width="2.85546875" style="8"/>
    <col min="6939" max="6939" width="5.28515625" style="8" customWidth="1"/>
    <col min="6940" max="6941" width="2.85546875" style="8"/>
    <col min="6942" max="6942" width="2.85546875" style="8" customWidth="1"/>
    <col min="6943" max="6943" width="2.85546875" style="8"/>
    <col min="6944" max="6944" width="4.5703125" style="8" customWidth="1"/>
    <col min="6945" max="6945" width="2.85546875" style="8"/>
    <col min="6946" max="6946" width="2.42578125" style="8" customWidth="1"/>
    <col min="6947" max="6949" width="2.85546875" style="8"/>
    <col min="6950" max="6950" width="2" style="8" customWidth="1"/>
    <col min="6951" max="6951" width="2.85546875" style="8"/>
    <col min="6952" max="6952" width="3.5703125" style="8" customWidth="1"/>
    <col min="6953" max="6953" width="2.85546875" style="8"/>
    <col min="6954" max="6954" width="2.28515625" style="8" customWidth="1"/>
    <col min="6955" max="7168" width="2.85546875" style="8"/>
    <col min="7169" max="7169" width="3.85546875" style="8" customWidth="1"/>
    <col min="7170" max="7170" width="3.5703125" style="8" customWidth="1"/>
    <col min="7171" max="7180" width="3.42578125" style="8" customWidth="1"/>
    <col min="7181" max="7182" width="2.85546875" style="8"/>
    <col min="7183" max="7183" width="2.28515625" style="8" customWidth="1"/>
    <col min="7184" max="7186" width="2.85546875" style="8"/>
    <col min="7187" max="7187" width="2.42578125" style="8" customWidth="1"/>
    <col min="7188" max="7194" width="2.85546875" style="8"/>
    <col min="7195" max="7195" width="5.28515625" style="8" customWidth="1"/>
    <col min="7196" max="7197" width="2.85546875" style="8"/>
    <col min="7198" max="7198" width="2.85546875" style="8" customWidth="1"/>
    <col min="7199" max="7199" width="2.85546875" style="8"/>
    <col min="7200" max="7200" width="4.5703125" style="8" customWidth="1"/>
    <col min="7201" max="7201" width="2.85546875" style="8"/>
    <col min="7202" max="7202" width="2.42578125" style="8" customWidth="1"/>
    <col min="7203" max="7205" width="2.85546875" style="8"/>
    <col min="7206" max="7206" width="2" style="8" customWidth="1"/>
    <col min="7207" max="7207" width="2.85546875" style="8"/>
    <col min="7208" max="7208" width="3.5703125" style="8" customWidth="1"/>
    <col min="7209" max="7209" width="2.85546875" style="8"/>
    <col min="7210" max="7210" width="2.28515625" style="8" customWidth="1"/>
    <col min="7211" max="7424" width="2.85546875" style="8"/>
    <col min="7425" max="7425" width="3.85546875" style="8" customWidth="1"/>
    <col min="7426" max="7426" width="3.5703125" style="8" customWidth="1"/>
    <col min="7427" max="7436" width="3.42578125" style="8" customWidth="1"/>
    <col min="7437" max="7438" width="2.85546875" style="8"/>
    <col min="7439" max="7439" width="2.28515625" style="8" customWidth="1"/>
    <col min="7440" max="7442" width="2.85546875" style="8"/>
    <col min="7443" max="7443" width="2.42578125" style="8" customWidth="1"/>
    <col min="7444" max="7450" width="2.85546875" style="8"/>
    <col min="7451" max="7451" width="5.28515625" style="8" customWidth="1"/>
    <col min="7452" max="7453" width="2.85546875" style="8"/>
    <col min="7454" max="7454" width="2.85546875" style="8" customWidth="1"/>
    <col min="7455" max="7455" width="2.85546875" style="8"/>
    <col min="7456" max="7456" width="4.5703125" style="8" customWidth="1"/>
    <col min="7457" max="7457" width="2.85546875" style="8"/>
    <col min="7458" max="7458" width="2.42578125" style="8" customWidth="1"/>
    <col min="7459" max="7461" width="2.85546875" style="8"/>
    <col min="7462" max="7462" width="2" style="8" customWidth="1"/>
    <col min="7463" max="7463" width="2.85546875" style="8"/>
    <col min="7464" max="7464" width="3.5703125" style="8" customWidth="1"/>
    <col min="7465" max="7465" width="2.85546875" style="8"/>
    <col min="7466" max="7466" width="2.28515625" style="8" customWidth="1"/>
    <col min="7467" max="7680" width="2.85546875" style="8"/>
    <col min="7681" max="7681" width="3.85546875" style="8" customWidth="1"/>
    <col min="7682" max="7682" width="3.5703125" style="8" customWidth="1"/>
    <col min="7683" max="7692" width="3.42578125" style="8" customWidth="1"/>
    <col min="7693" max="7694" width="2.85546875" style="8"/>
    <col min="7695" max="7695" width="2.28515625" style="8" customWidth="1"/>
    <col min="7696" max="7698" width="2.85546875" style="8"/>
    <col min="7699" max="7699" width="2.42578125" style="8" customWidth="1"/>
    <col min="7700" max="7706" width="2.85546875" style="8"/>
    <col min="7707" max="7707" width="5.28515625" style="8" customWidth="1"/>
    <col min="7708" max="7709" width="2.85546875" style="8"/>
    <col min="7710" max="7710" width="2.85546875" style="8" customWidth="1"/>
    <col min="7711" max="7711" width="2.85546875" style="8"/>
    <col min="7712" max="7712" width="4.5703125" style="8" customWidth="1"/>
    <col min="7713" max="7713" width="2.85546875" style="8"/>
    <col min="7714" max="7714" width="2.42578125" style="8" customWidth="1"/>
    <col min="7715" max="7717" width="2.85546875" style="8"/>
    <col min="7718" max="7718" width="2" style="8" customWidth="1"/>
    <col min="7719" max="7719" width="2.85546875" style="8"/>
    <col min="7720" max="7720" width="3.5703125" style="8" customWidth="1"/>
    <col min="7721" max="7721" width="2.85546875" style="8"/>
    <col min="7722" max="7722" width="2.28515625" style="8" customWidth="1"/>
    <col min="7723" max="7936" width="2.85546875" style="8"/>
    <col min="7937" max="7937" width="3.85546875" style="8" customWidth="1"/>
    <col min="7938" max="7938" width="3.5703125" style="8" customWidth="1"/>
    <col min="7939" max="7948" width="3.42578125" style="8" customWidth="1"/>
    <col min="7949" max="7950" width="2.85546875" style="8"/>
    <col min="7951" max="7951" width="2.28515625" style="8" customWidth="1"/>
    <col min="7952" max="7954" width="2.85546875" style="8"/>
    <col min="7955" max="7955" width="2.42578125" style="8" customWidth="1"/>
    <col min="7956" max="7962" width="2.85546875" style="8"/>
    <col min="7963" max="7963" width="5.28515625" style="8" customWidth="1"/>
    <col min="7964" max="7965" width="2.85546875" style="8"/>
    <col min="7966" max="7966" width="2.85546875" style="8" customWidth="1"/>
    <col min="7967" max="7967" width="2.85546875" style="8"/>
    <col min="7968" max="7968" width="4.5703125" style="8" customWidth="1"/>
    <col min="7969" max="7969" width="2.85546875" style="8"/>
    <col min="7970" max="7970" width="2.42578125" style="8" customWidth="1"/>
    <col min="7971" max="7973" width="2.85546875" style="8"/>
    <col min="7974" max="7974" width="2" style="8" customWidth="1"/>
    <col min="7975" max="7975" width="2.85546875" style="8"/>
    <col min="7976" max="7976" width="3.5703125" style="8" customWidth="1"/>
    <col min="7977" max="7977" width="2.85546875" style="8"/>
    <col min="7978" max="7978" width="2.28515625" style="8" customWidth="1"/>
    <col min="7979" max="8192" width="2.85546875" style="8"/>
    <col min="8193" max="8193" width="3.85546875" style="8" customWidth="1"/>
    <col min="8194" max="8194" width="3.5703125" style="8" customWidth="1"/>
    <col min="8195" max="8204" width="3.42578125" style="8" customWidth="1"/>
    <col min="8205" max="8206" width="2.85546875" style="8"/>
    <col min="8207" max="8207" width="2.28515625" style="8" customWidth="1"/>
    <col min="8208" max="8210" width="2.85546875" style="8"/>
    <col min="8211" max="8211" width="2.42578125" style="8" customWidth="1"/>
    <col min="8212" max="8218" width="2.85546875" style="8"/>
    <col min="8219" max="8219" width="5.28515625" style="8" customWidth="1"/>
    <col min="8220" max="8221" width="2.85546875" style="8"/>
    <col min="8222" max="8222" width="2.85546875" style="8" customWidth="1"/>
    <col min="8223" max="8223" width="2.85546875" style="8"/>
    <col min="8224" max="8224" width="4.5703125" style="8" customWidth="1"/>
    <col min="8225" max="8225" width="2.85546875" style="8"/>
    <col min="8226" max="8226" width="2.42578125" style="8" customWidth="1"/>
    <col min="8227" max="8229" width="2.85546875" style="8"/>
    <col min="8230" max="8230" width="2" style="8" customWidth="1"/>
    <col min="8231" max="8231" width="2.85546875" style="8"/>
    <col min="8232" max="8232" width="3.5703125" style="8" customWidth="1"/>
    <col min="8233" max="8233" width="2.85546875" style="8"/>
    <col min="8234" max="8234" width="2.28515625" style="8" customWidth="1"/>
    <col min="8235" max="8448" width="2.85546875" style="8"/>
    <col min="8449" max="8449" width="3.85546875" style="8" customWidth="1"/>
    <col min="8450" max="8450" width="3.5703125" style="8" customWidth="1"/>
    <col min="8451" max="8460" width="3.42578125" style="8" customWidth="1"/>
    <col min="8461" max="8462" width="2.85546875" style="8"/>
    <col min="8463" max="8463" width="2.28515625" style="8" customWidth="1"/>
    <col min="8464" max="8466" width="2.85546875" style="8"/>
    <col min="8467" max="8467" width="2.42578125" style="8" customWidth="1"/>
    <col min="8468" max="8474" width="2.85546875" style="8"/>
    <col min="8475" max="8475" width="5.28515625" style="8" customWidth="1"/>
    <col min="8476" max="8477" width="2.85546875" style="8"/>
    <col min="8478" max="8478" width="2.85546875" style="8" customWidth="1"/>
    <col min="8479" max="8479" width="2.85546875" style="8"/>
    <col min="8480" max="8480" width="4.5703125" style="8" customWidth="1"/>
    <col min="8481" max="8481" width="2.85546875" style="8"/>
    <col min="8482" max="8482" width="2.42578125" style="8" customWidth="1"/>
    <col min="8483" max="8485" width="2.85546875" style="8"/>
    <col min="8486" max="8486" width="2" style="8" customWidth="1"/>
    <col min="8487" max="8487" width="2.85546875" style="8"/>
    <col min="8488" max="8488" width="3.5703125" style="8" customWidth="1"/>
    <col min="8489" max="8489" width="2.85546875" style="8"/>
    <col min="8490" max="8490" width="2.28515625" style="8" customWidth="1"/>
    <col min="8491" max="8704" width="2.85546875" style="8"/>
    <col min="8705" max="8705" width="3.85546875" style="8" customWidth="1"/>
    <col min="8706" max="8706" width="3.5703125" style="8" customWidth="1"/>
    <col min="8707" max="8716" width="3.42578125" style="8" customWidth="1"/>
    <col min="8717" max="8718" width="2.85546875" style="8"/>
    <col min="8719" max="8719" width="2.28515625" style="8" customWidth="1"/>
    <col min="8720" max="8722" width="2.85546875" style="8"/>
    <col min="8723" max="8723" width="2.42578125" style="8" customWidth="1"/>
    <col min="8724" max="8730" width="2.85546875" style="8"/>
    <col min="8731" max="8731" width="5.28515625" style="8" customWidth="1"/>
    <col min="8732" max="8733" width="2.85546875" style="8"/>
    <col min="8734" max="8734" width="2.85546875" style="8" customWidth="1"/>
    <col min="8735" max="8735" width="2.85546875" style="8"/>
    <col min="8736" max="8736" width="4.5703125" style="8" customWidth="1"/>
    <col min="8737" max="8737" width="2.85546875" style="8"/>
    <col min="8738" max="8738" width="2.42578125" style="8" customWidth="1"/>
    <col min="8739" max="8741" width="2.85546875" style="8"/>
    <col min="8742" max="8742" width="2" style="8" customWidth="1"/>
    <col min="8743" max="8743" width="2.85546875" style="8"/>
    <col min="8744" max="8744" width="3.5703125" style="8" customWidth="1"/>
    <col min="8745" max="8745" width="2.85546875" style="8"/>
    <col min="8746" max="8746" width="2.28515625" style="8" customWidth="1"/>
    <col min="8747" max="8960" width="2.85546875" style="8"/>
    <col min="8961" max="8961" width="3.85546875" style="8" customWidth="1"/>
    <col min="8962" max="8962" width="3.5703125" style="8" customWidth="1"/>
    <col min="8963" max="8972" width="3.42578125" style="8" customWidth="1"/>
    <col min="8973" max="8974" width="2.85546875" style="8"/>
    <col min="8975" max="8975" width="2.28515625" style="8" customWidth="1"/>
    <col min="8976" max="8978" width="2.85546875" style="8"/>
    <col min="8979" max="8979" width="2.42578125" style="8" customWidth="1"/>
    <col min="8980" max="8986" width="2.85546875" style="8"/>
    <col min="8987" max="8987" width="5.28515625" style="8" customWidth="1"/>
    <col min="8988" max="8989" width="2.85546875" style="8"/>
    <col min="8990" max="8990" width="2.85546875" style="8" customWidth="1"/>
    <col min="8991" max="8991" width="2.85546875" style="8"/>
    <col min="8992" max="8992" width="4.5703125" style="8" customWidth="1"/>
    <col min="8993" max="8993" width="2.85546875" style="8"/>
    <col min="8994" max="8994" width="2.42578125" style="8" customWidth="1"/>
    <col min="8995" max="8997" width="2.85546875" style="8"/>
    <col min="8998" max="8998" width="2" style="8" customWidth="1"/>
    <col min="8999" max="8999" width="2.85546875" style="8"/>
    <col min="9000" max="9000" width="3.5703125" style="8" customWidth="1"/>
    <col min="9001" max="9001" width="2.85546875" style="8"/>
    <col min="9002" max="9002" width="2.28515625" style="8" customWidth="1"/>
    <col min="9003" max="9216" width="2.85546875" style="8"/>
    <col min="9217" max="9217" width="3.85546875" style="8" customWidth="1"/>
    <col min="9218" max="9218" width="3.5703125" style="8" customWidth="1"/>
    <col min="9219" max="9228" width="3.42578125" style="8" customWidth="1"/>
    <col min="9229" max="9230" width="2.85546875" style="8"/>
    <col min="9231" max="9231" width="2.28515625" style="8" customWidth="1"/>
    <col min="9232" max="9234" width="2.85546875" style="8"/>
    <col min="9235" max="9235" width="2.42578125" style="8" customWidth="1"/>
    <col min="9236" max="9242" width="2.85546875" style="8"/>
    <col min="9243" max="9243" width="5.28515625" style="8" customWidth="1"/>
    <col min="9244" max="9245" width="2.85546875" style="8"/>
    <col min="9246" max="9246" width="2.85546875" style="8" customWidth="1"/>
    <col min="9247" max="9247" width="2.85546875" style="8"/>
    <col min="9248" max="9248" width="4.5703125" style="8" customWidth="1"/>
    <col min="9249" max="9249" width="2.85546875" style="8"/>
    <col min="9250" max="9250" width="2.42578125" style="8" customWidth="1"/>
    <col min="9251" max="9253" width="2.85546875" style="8"/>
    <col min="9254" max="9254" width="2" style="8" customWidth="1"/>
    <col min="9255" max="9255" width="2.85546875" style="8"/>
    <col min="9256" max="9256" width="3.5703125" style="8" customWidth="1"/>
    <col min="9257" max="9257" width="2.85546875" style="8"/>
    <col min="9258" max="9258" width="2.28515625" style="8" customWidth="1"/>
    <col min="9259" max="9472" width="2.85546875" style="8"/>
    <col min="9473" max="9473" width="3.85546875" style="8" customWidth="1"/>
    <col min="9474" max="9474" width="3.5703125" style="8" customWidth="1"/>
    <col min="9475" max="9484" width="3.42578125" style="8" customWidth="1"/>
    <col min="9485" max="9486" width="2.85546875" style="8"/>
    <col min="9487" max="9487" width="2.28515625" style="8" customWidth="1"/>
    <col min="9488" max="9490" width="2.85546875" style="8"/>
    <col min="9491" max="9491" width="2.42578125" style="8" customWidth="1"/>
    <col min="9492" max="9498" width="2.85546875" style="8"/>
    <col min="9499" max="9499" width="5.28515625" style="8" customWidth="1"/>
    <col min="9500" max="9501" width="2.85546875" style="8"/>
    <col min="9502" max="9502" width="2.85546875" style="8" customWidth="1"/>
    <col min="9503" max="9503" width="2.85546875" style="8"/>
    <col min="9504" max="9504" width="4.5703125" style="8" customWidth="1"/>
    <col min="9505" max="9505" width="2.85546875" style="8"/>
    <col min="9506" max="9506" width="2.42578125" style="8" customWidth="1"/>
    <col min="9507" max="9509" width="2.85546875" style="8"/>
    <col min="9510" max="9510" width="2" style="8" customWidth="1"/>
    <col min="9511" max="9511" width="2.85546875" style="8"/>
    <col min="9512" max="9512" width="3.5703125" style="8" customWidth="1"/>
    <col min="9513" max="9513" width="2.85546875" style="8"/>
    <col min="9514" max="9514" width="2.28515625" style="8" customWidth="1"/>
    <col min="9515" max="9728" width="2.85546875" style="8"/>
    <col min="9729" max="9729" width="3.85546875" style="8" customWidth="1"/>
    <col min="9730" max="9730" width="3.5703125" style="8" customWidth="1"/>
    <col min="9731" max="9740" width="3.42578125" style="8" customWidth="1"/>
    <col min="9741" max="9742" width="2.85546875" style="8"/>
    <col min="9743" max="9743" width="2.28515625" style="8" customWidth="1"/>
    <col min="9744" max="9746" width="2.85546875" style="8"/>
    <col min="9747" max="9747" width="2.42578125" style="8" customWidth="1"/>
    <col min="9748" max="9754" width="2.85546875" style="8"/>
    <col min="9755" max="9755" width="5.28515625" style="8" customWidth="1"/>
    <col min="9756" max="9757" width="2.85546875" style="8"/>
    <col min="9758" max="9758" width="2.85546875" style="8" customWidth="1"/>
    <col min="9759" max="9759" width="2.85546875" style="8"/>
    <col min="9760" max="9760" width="4.5703125" style="8" customWidth="1"/>
    <col min="9761" max="9761" width="2.85546875" style="8"/>
    <col min="9762" max="9762" width="2.42578125" style="8" customWidth="1"/>
    <col min="9763" max="9765" width="2.85546875" style="8"/>
    <col min="9766" max="9766" width="2" style="8" customWidth="1"/>
    <col min="9767" max="9767" width="2.85546875" style="8"/>
    <col min="9768" max="9768" width="3.5703125" style="8" customWidth="1"/>
    <col min="9769" max="9769" width="2.85546875" style="8"/>
    <col min="9770" max="9770" width="2.28515625" style="8" customWidth="1"/>
    <col min="9771" max="9984" width="2.85546875" style="8"/>
    <col min="9985" max="9985" width="3.85546875" style="8" customWidth="1"/>
    <col min="9986" max="9986" width="3.5703125" style="8" customWidth="1"/>
    <col min="9987" max="9996" width="3.42578125" style="8" customWidth="1"/>
    <col min="9997" max="9998" width="2.85546875" style="8"/>
    <col min="9999" max="9999" width="2.28515625" style="8" customWidth="1"/>
    <col min="10000" max="10002" width="2.85546875" style="8"/>
    <col min="10003" max="10003" width="2.42578125" style="8" customWidth="1"/>
    <col min="10004" max="10010" width="2.85546875" style="8"/>
    <col min="10011" max="10011" width="5.28515625" style="8" customWidth="1"/>
    <col min="10012" max="10013" width="2.85546875" style="8"/>
    <col min="10014" max="10014" width="2.85546875" style="8" customWidth="1"/>
    <col min="10015" max="10015" width="2.85546875" style="8"/>
    <col min="10016" max="10016" width="4.5703125" style="8" customWidth="1"/>
    <col min="10017" max="10017" width="2.85546875" style="8"/>
    <col min="10018" max="10018" width="2.42578125" style="8" customWidth="1"/>
    <col min="10019" max="10021" width="2.85546875" style="8"/>
    <col min="10022" max="10022" width="2" style="8" customWidth="1"/>
    <col min="10023" max="10023" width="2.85546875" style="8"/>
    <col min="10024" max="10024" width="3.5703125" style="8" customWidth="1"/>
    <col min="10025" max="10025" width="2.85546875" style="8"/>
    <col min="10026" max="10026" width="2.28515625" style="8" customWidth="1"/>
    <col min="10027" max="10240" width="2.85546875" style="8"/>
    <col min="10241" max="10241" width="3.85546875" style="8" customWidth="1"/>
    <col min="10242" max="10242" width="3.5703125" style="8" customWidth="1"/>
    <col min="10243" max="10252" width="3.42578125" style="8" customWidth="1"/>
    <col min="10253" max="10254" width="2.85546875" style="8"/>
    <col min="10255" max="10255" width="2.28515625" style="8" customWidth="1"/>
    <col min="10256" max="10258" width="2.85546875" style="8"/>
    <col min="10259" max="10259" width="2.42578125" style="8" customWidth="1"/>
    <col min="10260" max="10266" width="2.85546875" style="8"/>
    <col min="10267" max="10267" width="5.28515625" style="8" customWidth="1"/>
    <col min="10268" max="10269" width="2.85546875" style="8"/>
    <col min="10270" max="10270" width="2.85546875" style="8" customWidth="1"/>
    <col min="10271" max="10271" width="2.85546875" style="8"/>
    <col min="10272" max="10272" width="4.5703125" style="8" customWidth="1"/>
    <col min="10273" max="10273" width="2.85546875" style="8"/>
    <col min="10274" max="10274" width="2.42578125" style="8" customWidth="1"/>
    <col min="10275" max="10277" width="2.85546875" style="8"/>
    <col min="10278" max="10278" width="2" style="8" customWidth="1"/>
    <col min="10279" max="10279" width="2.85546875" style="8"/>
    <col min="10280" max="10280" width="3.5703125" style="8" customWidth="1"/>
    <col min="10281" max="10281" width="2.85546875" style="8"/>
    <col min="10282" max="10282" width="2.28515625" style="8" customWidth="1"/>
    <col min="10283" max="10496" width="2.85546875" style="8"/>
    <col min="10497" max="10497" width="3.85546875" style="8" customWidth="1"/>
    <col min="10498" max="10498" width="3.5703125" style="8" customWidth="1"/>
    <col min="10499" max="10508" width="3.42578125" style="8" customWidth="1"/>
    <col min="10509" max="10510" width="2.85546875" style="8"/>
    <col min="10511" max="10511" width="2.28515625" style="8" customWidth="1"/>
    <col min="10512" max="10514" width="2.85546875" style="8"/>
    <col min="10515" max="10515" width="2.42578125" style="8" customWidth="1"/>
    <col min="10516" max="10522" width="2.85546875" style="8"/>
    <col min="10523" max="10523" width="5.28515625" style="8" customWidth="1"/>
    <col min="10524" max="10525" width="2.85546875" style="8"/>
    <col min="10526" max="10526" width="2.85546875" style="8" customWidth="1"/>
    <col min="10527" max="10527" width="2.85546875" style="8"/>
    <col min="10528" max="10528" width="4.5703125" style="8" customWidth="1"/>
    <col min="10529" max="10529" width="2.85546875" style="8"/>
    <col min="10530" max="10530" width="2.42578125" style="8" customWidth="1"/>
    <col min="10531" max="10533" width="2.85546875" style="8"/>
    <col min="10534" max="10534" width="2" style="8" customWidth="1"/>
    <col min="10535" max="10535" width="2.85546875" style="8"/>
    <col min="10536" max="10536" width="3.5703125" style="8" customWidth="1"/>
    <col min="10537" max="10537" width="2.85546875" style="8"/>
    <col min="10538" max="10538" width="2.28515625" style="8" customWidth="1"/>
    <col min="10539" max="10752" width="2.85546875" style="8"/>
    <col min="10753" max="10753" width="3.85546875" style="8" customWidth="1"/>
    <col min="10754" max="10754" width="3.5703125" style="8" customWidth="1"/>
    <col min="10755" max="10764" width="3.42578125" style="8" customWidth="1"/>
    <col min="10765" max="10766" width="2.85546875" style="8"/>
    <col min="10767" max="10767" width="2.28515625" style="8" customWidth="1"/>
    <col min="10768" max="10770" width="2.85546875" style="8"/>
    <col min="10771" max="10771" width="2.42578125" style="8" customWidth="1"/>
    <col min="10772" max="10778" width="2.85546875" style="8"/>
    <col min="10779" max="10779" width="5.28515625" style="8" customWidth="1"/>
    <col min="10780" max="10781" width="2.85546875" style="8"/>
    <col min="10782" max="10782" width="2.85546875" style="8" customWidth="1"/>
    <col min="10783" max="10783" width="2.85546875" style="8"/>
    <col min="10784" max="10784" width="4.5703125" style="8" customWidth="1"/>
    <col min="10785" max="10785" width="2.85546875" style="8"/>
    <col min="10786" max="10786" width="2.42578125" style="8" customWidth="1"/>
    <col min="10787" max="10789" width="2.85546875" style="8"/>
    <col min="10790" max="10790" width="2" style="8" customWidth="1"/>
    <col min="10791" max="10791" width="2.85546875" style="8"/>
    <col min="10792" max="10792" width="3.5703125" style="8" customWidth="1"/>
    <col min="10793" max="10793" width="2.85546875" style="8"/>
    <col min="10794" max="10794" width="2.28515625" style="8" customWidth="1"/>
    <col min="10795" max="11008" width="2.85546875" style="8"/>
    <col min="11009" max="11009" width="3.85546875" style="8" customWidth="1"/>
    <col min="11010" max="11010" width="3.5703125" style="8" customWidth="1"/>
    <col min="11011" max="11020" width="3.42578125" style="8" customWidth="1"/>
    <col min="11021" max="11022" width="2.85546875" style="8"/>
    <col min="11023" max="11023" width="2.28515625" style="8" customWidth="1"/>
    <col min="11024" max="11026" width="2.85546875" style="8"/>
    <col min="11027" max="11027" width="2.42578125" style="8" customWidth="1"/>
    <col min="11028" max="11034" width="2.85546875" style="8"/>
    <col min="11035" max="11035" width="5.28515625" style="8" customWidth="1"/>
    <col min="11036" max="11037" width="2.85546875" style="8"/>
    <col min="11038" max="11038" width="2.85546875" style="8" customWidth="1"/>
    <col min="11039" max="11039" width="2.85546875" style="8"/>
    <col min="11040" max="11040" width="4.5703125" style="8" customWidth="1"/>
    <col min="11041" max="11041" width="2.85546875" style="8"/>
    <col min="11042" max="11042" width="2.42578125" style="8" customWidth="1"/>
    <col min="11043" max="11045" width="2.85546875" style="8"/>
    <col min="11046" max="11046" width="2" style="8" customWidth="1"/>
    <col min="11047" max="11047" width="2.85546875" style="8"/>
    <col min="11048" max="11048" width="3.5703125" style="8" customWidth="1"/>
    <col min="11049" max="11049" width="2.85546875" style="8"/>
    <col min="11050" max="11050" width="2.28515625" style="8" customWidth="1"/>
    <col min="11051" max="11264" width="2.85546875" style="8"/>
    <col min="11265" max="11265" width="3.85546875" style="8" customWidth="1"/>
    <col min="11266" max="11266" width="3.5703125" style="8" customWidth="1"/>
    <col min="11267" max="11276" width="3.42578125" style="8" customWidth="1"/>
    <col min="11277" max="11278" width="2.85546875" style="8"/>
    <col min="11279" max="11279" width="2.28515625" style="8" customWidth="1"/>
    <col min="11280" max="11282" width="2.85546875" style="8"/>
    <col min="11283" max="11283" width="2.42578125" style="8" customWidth="1"/>
    <col min="11284" max="11290" width="2.85546875" style="8"/>
    <col min="11291" max="11291" width="5.28515625" style="8" customWidth="1"/>
    <col min="11292" max="11293" width="2.85546875" style="8"/>
    <col min="11294" max="11294" width="2.85546875" style="8" customWidth="1"/>
    <col min="11295" max="11295" width="2.85546875" style="8"/>
    <col min="11296" max="11296" width="4.5703125" style="8" customWidth="1"/>
    <col min="11297" max="11297" width="2.85546875" style="8"/>
    <col min="11298" max="11298" width="2.42578125" style="8" customWidth="1"/>
    <col min="11299" max="11301" width="2.85546875" style="8"/>
    <col min="11302" max="11302" width="2" style="8" customWidth="1"/>
    <col min="11303" max="11303" width="2.85546875" style="8"/>
    <col min="11304" max="11304" width="3.5703125" style="8" customWidth="1"/>
    <col min="11305" max="11305" width="2.85546875" style="8"/>
    <col min="11306" max="11306" width="2.28515625" style="8" customWidth="1"/>
    <col min="11307" max="11520" width="2.85546875" style="8"/>
    <col min="11521" max="11521" width="3.85546875" style="8" customWidth="1"/>
    <col min="11522" max="11522" width="3.5703125" style="8" customWidth="1"/>
    <col min="11523" max="11532" width="3.42578125" style="8" customWidth="1"/>
    <col min="11533" max="11534" width="2.85546875" style="8"/>
    <col min="11535" max="11535" width="2.28515625" style="8" customWidth="1"/>
    <col min="11536" max="11538" width="2.85546875" style="8"/>
    <col min="11539" max="11539" width="2.42578125" style="8" customWidth="1"/>
    <col min="11540" max="11546" width="2.85546875" style="8"/>
    <col min="11547" max="11547" width="5.28515625" style="8" customWidth="1"/>
    <col min="11548" max="11549" width="2.85546875" style="8"/>
    <col min="11550" max="11550" width="2.85546875" style="8" customWidth="1"/>
    <col min="11551" max="11551" width="2.85546875" style="8"/>
    <col min="11552" max="11552" width="4.5703125" style="8" customWidth="1"/>
    <col min="11553" max="11553" width="2.85546875" style="8"/>
    <col min="11554" max="11554" width="2.42578125" style="8" customWidth="1"/>
    <col min="11555" max="11557" width="2.85546875" style="8"/>
    <col min="11558" max="11558" width="2" style="8" customWidth="1"/>
    <col min="11559" max="11559" width="2.85546875" style="8"/>
    <col min="11560" max="11560" width="3.5703125" style="8" customWidth="1"/>
    <col min="11561" max="11561" width="2.85546875" style="8"/>
    <col min="11562" max="11562" width="2.28515625" style="8" customWidth="1"/>
    <col min="11563" max="11776" width="2.85546875" style="8"/>
    <col min="11777" max="11777" width="3.85546875" style="8" customWidth="1"/>
    <col min="11778" max="11778" width="3.5703125" style="8" customWidth="1"/>
    <col min="11779" max="11788" width="3.42578125" style="8" customWidth="1"/>
    <col min="11789" max="11790" width="2.85546875" style="8"/>
    <col min="11791" max="11791" width="2.28515625" style="8" customWidth="1"/>
    <col min="11792" max="11794" width="2.85546875" style="8"/>
    <col min="11795" max="11795" width="2.42578125" style="8" customWidth="1"/>
    <col min="11796" max="11802" width="2.85546875" style="8"/>
    <col min="11803" max="11803" width="5.28515625" style="8" customWidth="1"/>
    <col min="11804" max="11805" width="2.85546875" style="8"/>
    <col min="11806" max="11806" width="2.85546875" style="8" customWidth="1"/>
    <col min="11807" max="11807" width="2.85546875" style="8"/>
    <col min="11808" max="11808" width="4.5703125" style="8" customWidth="1"/>
    <col min="11809" max="11809" width="2.85546875" style="8"/>
    <col min="11810" max="11810" width="2.42578125" style="8" customWidth="1"/>
    <col min="11811" max="11813" width="2.85546875" style="8"/>
    <col min="11814" max="11814" width="2" style="8" customWidth="1"/>
    <col min="11815" max="11815" width="2.85546875" style="8"/>
    <col min="11816" max="11816" width="3.5703125" style="8" customWidth="1"/>
    <col min="11817" max="11817" width="2.85546875" style="8"/>
    <col min="11818" max="11818" width="2.28515625" style="8" customWidth="1"/>
    <col min="11819" max="12032" width="2.85546875" style="8"/>
    <col min="12033" max="12033" width="3.85546875" style="8" customWidth="1"/>
    <col min="12034" max="12034" width="3.5703125" style="8" customWidth="1"/>
    <col min="12035" max="12044" width="3.42578125" style="8" customWidth="1"/>
    <col min="12045" max="12046" width="2.85546875" style="8"/>
    <col min="12047" max="12047" width="2.28515625" style="8" customWidth="1"/>
    <col min="12048" max="12050" width="2.85546875" style="8"/>
    <col min="12051" max="12051" width="2.42578125" style="8" customWidth="1"/>
    <col min="12052" max="12058" width="2.85546875" style="8"/>
    <col min="12059" max="12059" width="5.28515625" style="8" customWidth="1"/>
    <col min="12060" max="12061" width="2.85546875" style="8"/>
    <col min="12062" max="12062" width="2.85546875" style="8" customWidth="1"/>
    <col min="12063" max="12063" width="2.85546875" style="8"/>
    <col min="12064" max="12064" width="4.5703125" style="8" customWidth="1"/>
    <col min="12065" max="12065" width="2.85546875" style="8"/>
    <col min="12066" max="12066" width="2.42578125" style="8" customWidth="1"/>
    <col min="12067" max="12069" width="2.85546875" style="8"/>
    <col min="12070" max="12070" width="2" style="8" customWidth="1"/>
    <col min="12071" max="12071" width="2.85546875" style="8"/>
    <col min="12072" max="12072" width="3.5703125" style="8" customWidth="1"/>
    <col min="12073" max="12073" width="2.85546875" style="8"/>
    <col min="12074" max="12074" width="2.28515625" style="8" customWidth="1"/>
    <col min="12075" max="12288" width="2.85546875" style="8"/>
    <col min="12289" max="12289" width="3.85546875" style="8" customWidth="1"/>
    <col min="12290" max="12290" width="3.5703125" style="8" customWidth="1"/>
    <col min="12291" max="12300" width="3.42578125" style="8" customWidth="1"/>
    <col min="12301" max="12302" width="2.85546875" style="8"/>
    <col min="12303" max="12303" width="2.28515625" style="8" customWidth="1"/>
    <col min="12304" max="12306" width="2.85546875" style="8"/>
    <col min="12307" max="12307" width="2.42578125" style="8" customWidth="1"/>
    <col min="12308" max="12314" width="2.85546875" style="8"/>
    <col min="12315" max="12315" width="5.28515625" style="8" customWidth="1"/>
    <col min="12316" max="12317" width="2.85546875" style="8"/>
    <col min="12318" max="12318" width="2.85546875" style="8" customWidth="1"/>
    <col min="12319" max="12319" width="2.85546875" style="8"/>
    <col min="12320" max="12320" width="4.5703125" style="8" customWidth="1"/>
    <col min="12321" max="12321" width="2.85546875" style="8"/>
    <col min="12322" max="12322" width="2.42578125" style="8" customWidth="1"/>
    <col min="12323" max="12325" width="2.85546875" style="8"/>
    <col min="12326" max="12326" width="2" style="8" customWidth="1"/>
    <col min="12327" max="12327" width="2.85546875" style="8"/>
    <col min="12328" max="12328" width="3.5703125" style="8" customWidth="1"/>
    <col min="12329" max="12329" width="2.85546875" style="8"/>
    <col min="12330" max="12330" width="2.28515625" style="8" customWidth="1"/>
    <col min="12331" max="12544" width="2.85546875" style="8"/>
    <col min="12545" max="12545" width="3.85546875" style="8" customWidth="1"/>
    <col min="12546" max="12546" width="3.5703125" style="8" customWidth="1"/>
    <col min="12547" max="12556" width="3.42578125" style="8" customWidth="1"/>
    <col min="12557" max="12558" width="2.85546875" style="8"/>
    <col min="12559" max="12559" width="2.28515625" style="8" customWidth="1"/>
    <col min="12560" max="12562" width="2.85546875" style="8"/>
    <col min="12563" max="12563" width="2.42578125" style="8" customWidth="1"/>
    <col min="12564" max="12570" width="2.85546875" style="8"/>
    <col min="12571" max="12571" width="5.28515625" style="8" customWidth="1"/>
    <col min="12572" max="12573" width="2.85546875" style="8"/>
    <col min="12574" max="12574" width="2.85546875" style="8" customWidth="1"/>
    <col min="12575" max="12575" width="2.85546875" style="8"/>
    <col min="12576" max="12576" width="4.5703125" style="8" customWidth="1"/>
    <col min="12577" max="12577" width="2.85546875" style="8"/>
    <col min="12578" max="12578" width="2.42578125" style="8" customWidth="1"/>
    <col min="12579" max="12581" width="2.85546875" style="8"/>
    <col min="12582" max="12582" width="2" style="8" customWidth="1"/>
    <col min="12583" max="12583" width="2.85546875" style="8"/>
    <col min="12584" max="12584" width="3.5703125" style="8" customWidth="1"/>
    <col min="12585" max="12585" width="2.85546875" style="8"/>
    <col min="12586" max="12586" width="2.28515625" style="8" customWidth="1"/>
    <col min="12587" max="12800" width="2.85546875" style="8"/>
    <col min="12801" max="12801" width="3.85546875" style="8" customWidth="1"/>
    <col min="12802" max="12802" width="3.5703125" style="8" customWidth="1"/>
    <col min="12803" max="12812" width="3.42578125" style="8" customWidth="1"/>
    <col min="12813" max="12814" width="2.85546875" style="8"/>
    <col min="12815" max="12815" width="2.28515625" style="8" customWidth="1"/>
    <col min="12816" max="12818" width="2.85546875" style="8"/>
    <col min="12819" max="12819" width="2.42578125" style="8" customWidth="1"/>
    <col min="12820" max="12826" width="2.85546875" style="8"/>
    <col min="12827" max="12827" width="5.28515625" style="8" customWidth="1"/>
    <col min="12828" max="12829" width="2.85546875" style="8"/>
    <col min="12830" max="12830" width="2.85546875" style="8" customWidth="1"/>
    <col min="12831" max="12831" width="2.85546875" style="8"/>
    <col min="12832" max="12832" width="4.5703125" style="8" customWidth="1"/>
    <col min="12833" max="12833" width="2.85546875" style="8"/>
    <col min="12834" max="12834" width="2.42578125" style="8" customWidth="1"/>
    <col min="12835" max="12837" width="2.85546875" style="8"/>
    <col min="12838" max="12838" width="2" style="8" customWidth="1"/>
    <col min="12839" max="12839" width="2.85546875" style="8"/>
    <col min="12840" max="12840" width="3.5703125" style="8" customWidth="1"/>
    <col min="12841" max="12841" width="2.85546875" style="8"/>
    <col min="12842" max="12842" width="2.28515625" style="8" customWidth="1"/>
    <col min="12843" max="13056" width="2.85546875" style="8"/>
    <col min="13057" max="13057" width="3.85546875" style="8" customWidth="1"/>
    <col min="13058" max="13058" width="3.5703125" style="8" customWidth="1"/>
    <col min="13059" max="13068" width="3.42578125" style="8" customWidth="1"/>
    <col min="13069" max="13070" width="2.85546875" style="8"/>
    <col min="13071" max="13071" width="2.28515625" style="8" customWidth="1"/>
    <col min="13072" max="13074" width="2.85546875" style="8"/>
    <col min="13075" max="13075" width="2.42578125" style="8" customWidth="1"/>
    <col min="13076" max="13082" width="2.85546875" style="8"/>
    <col min="13083" max="13083" width="5.28515625" style="8" customWidth="1"/>
    <col min="13084" max="13085" width="2.85546875" style="8"/>
    <col min="13086" max="13086" width="2.85546875" style="8" customWidth="1"/>
    <col min="13087" max="13087" width="2.85546875" style="8"/>
    <col min="13088" max="13088" width="4.5703125" style="8" customWidth="1"/>
    <col min="13089" max="13089" width="2.85546875" style="8"/>
    <col min="13090" max="13090" width="2.42578125" style="8" customWidth="1"/>
    <col min="13091" max="13093" width="2.85546875" style="8"/>
    <col min="13094" max="13094" width="2" style="8" customWidth="1"/>
    <col min="13095" max="13095" width="2.85546875" style="8"/>
    <col min="13096" max="13096" width="3.5703125" style="8" customWidth="1"/>
    <col min="13097" max="13097" width="2.85546875" style="8"/>
    <col min="13098" max="13098" width="2.28515625" style="8" customWidth="1"/>
    <col min="13099" max="13312" width="2.85546875" style="8"/>
    <col min="13313" max="13313" width="3.85546875" style="8" customWidth="1"/>
    <col min="13314" max="13314" width="3.5703125" style="8" customWidth="1"/>
    <col min="13315" max="13324" width="3.42578125" style="8" customWidth="1"/>
    <col min="13325" max="13326" width="2.85546875" style="8"/>
    <col min="13327" max="13327" width="2.28515625" style="8" customWidth="1"/>
    <col min="13328" max="13330" width="2.85546875" style="8"/>
    <col min="13331" max="13331" width="2.42578125" style="8" customWidth="1"/>
    <col min="13332" max="13338" width="2.85546875" style="8"/>
    <col min="13339" max="13339" width="5.28515625" style="8" customWidth="1"/>
    <col min="13340" max="13341" width="2.85546875" style="8"/>
    <col min="13342" max="13342" width="2.85546875" style="8" customWidth="1"/>
    <col min="13343" max="13343" width="2.85546875" style="8"/>
    <col min="13344" max="13344" width="4.5703125" style="8" customWidth="1"/>
    <col min="13345" max="13345" width="2.85546875" style="8"/>
    <col min="13346" max="13346" width="2.42578125" style="8" customWidth="1"/>
    <col min="13347" max="13349" width="2.85546875" style="8"/>
    <col min="13350" max="13350" width="2" style="8" customWidth="1"/>
    <col min="13351" max="13351" width="2.85546875" style="8"/>
    <col min="13352" max="13352" width="3.5703125" style="8" customWidth="1"/>
    <col min="13353" max="13353" width="2.85546875" style="8"/>
    <col min="13354" max="13354" width="2.28515625" style="8" customWidth="1"/>
    <col min="13355" max="13568" width="2.85546875" style="8"/>
    <col min="13569" max="13569" width="3.85546875" style="8" customWidth="1"/>
    <col min="13570" max="13570" width="3.5703125" style="8" customWidth="1"/>
    <col min="13571" max="13580" width="3.42578125" style="8" customWidth="1"/>
    <col min="13581" max="13582" width="2.85546875" style="8"/>
    <col min="13583" max="13583" width="2.28515625" style="8" customWidth="1"/>
    <col min="13584" max="13586" width="2.85546875" style="8"/>
    <col min="13587" max="13587" width="2.42578125" style="8" customWidth="1"/>
    <col min="13588" max="13594" width="2.85546875" style="8"/>
    <col min="13595" max="13595" width="5.28515625" style="8" customWidth="1"/>
    <col min="13596" max="13597" width="2.85546875" style="8"/>
    <col min="13598" max="13598" width="2.85546875" style="8" customWidth="1"/>
    <col min="13599" max="13599" width="2.85546875" style="8"/>
    <col min="13600" max="13600" width="4.5703125" style="8" customWidth="1"/>
    <col min="13601" max="13601" width="2.85546875" style="8"/>
    <col min="13602" max="13602" width="2.42578125" style="8" customWidth="1"/>
    <col min="13603" max="13605" width="2.85546875" style="8"/>
    <col min="13606" max="13606" width="2" style="8" customWidth="1"/>
    <col min="13607" max="13607" width="2.85546875" style="8"/>
    <col min="13608" max="13608" width="3.5703125" style="8" customWidth="1"/>
    <col min="13609" max="13609" width="2.85546875" style="8"/>
    <col min="13610" max="13610" width="2.28515625" style="8" customWidth="1"/>
    <col min="13611" max="13824" width="2.85546875" style="8"/>
    <col min="13825" max="13825" width="3.85546875" style="8" customWidth="1"/>
    <col min="13826" max="13826" width="3.5703125" style="8" customWidth="1"/>
    <col min="13827" max="13836" width="3.42578125" style="8" customWidth="1"/>
    <col min="13837" max="13838" width="2.85546875" style="8"/>
    <col min="13839" max="13839" width="2.28515625" style="8" customWidth="1"/>
    <col min="13840" max="13842" width="2.85546875" style="8"/>
    <col min="13843" max="13843" width="2.42578125" style="8" customWidth="1"/>
    <col min="13844" max="13850" width="2.85546875" style="8"/>
    <col min="13851" max="13851" width="5.28515625" style="8" customWidth="1"/>
    <col min="13852" max="13853" width="2.85546875" style="8"/>
    <col min="13854" max="13854" width="2.85546875" style="8" customWidth="1"/>
    <col min="13855" max="13855" width="2.85546875" style="8"/>
    <col min="13856" max="13856" width="4.5703125" style="8" customWidth="1"/>
    <col min="13857" max="13857" width="2.85546875" style="8"/>
    <col min="13858" max="13858" width="2.42578125" style="8" customWidth="1"/>
    <col min="13859" max="13861" width="2.85546875" style="8"/>
    <col min="13862" max="13862" width="2" style="8" customWidth="1"/>
    <col min="13863" max="13863" width="2.85546875" style="8"/>
    <col min="13864" max="13864" width="3.5703125" style="8" customWidth="1"/>
    <col min="13865" max="13865" width="2.85546875" style="8"/>
    <col min="13866" max="13866" width="2.28515625" style="8" customWidth="1"/>
    <col min="13867" max="14080" width="2.85546875" style="8"/>
    <col min="14081" max="14081" width="3.85546875" style="8" customWidth="1"/>
    <col min="14082" max="14082" width="3.5703125" style="8" customWidth="1"/>
    <col min="14083" max="14092" width="3.42578125" style="8" customWidth="1"/>
    <col min="14093" max="14094" width="2.85546875" style="8"/>
    <col min="14095" max="14095" width="2.28515625" style="8" customWidth="1"/>
    <col min="14096" max="14098" width="2.85546875" style="8"/>
    <col min="14099" max="14099" width="2.42578125" style="8" customWidth="1"/>
    <col min="14100" max="14106" width="2.85546875" style="8"/>
    <col min="14107" max="14107" width="5.28515625" style="8" customWidth="1"/>
    <col min="14108" max="14109" width="2.85546875" style="8"/>
    <col min="14110" max="14110" width="2.85546875" style="8" customWidth="1"/>
    <col min="14111" max="14111" width="2.85546875" style="8"/>
    <col min="14112" max="14112" width="4.5703125" style="8" customWidth="1"/>
    <col min="14113" max="14113" width="2.85546875" style="8"/>
    <col min="14114" max="14114" width="2.42578125" style="8" customWidth="1"/>
    <col min="14115" max="14117" width="2.85546875" style="8"/>
    <col min="14118" max="14118" width="2" style="8" customWidth="1"/>
    <col min="14119" max="14119" width="2.85546875" style="8"/>
    <col min="14120" max="14120" width="3.5703125" style="8" customWidth="1"/>
    <col min="14121" max="14121" width="2.85546875" style="8"/>
    <col min="14122" max="14122" width="2.28515625" style="8" customWidth="1"/>
    <col min="14123" max="14336" width="2.85546875" style="8"/>
    <col min="14337" max="14337" width="3.85546875" style="8" customWidth="1"/>
    <col min="14338" max="14338" width="3.5703125" style="8" customWidth="1"/>
    <col min="14339" max="14348" width="3.42578125" style="8" customWidth="1"/>
    <col min="14349" max="14350" width="2.85546875" style="8"/>
    <col min="14351" max="14351" width="2.28515625" style="8" customWidth="1"/>
    <col min="14352" max="14354" width="2.85546875" style="8"/>
    <col min="14355" max="14355" width="2.42578125" style="8" customWidth="1"/>
    <col min="14356" max="14362" width="2.85546875" style="8"/>
    <col min="14363" max="14363" width="5.28515625" style="8" customWidth="1"/>
    <col min="14364" max="14365" width="2.85546875" style="8"/>
    <col min="14366" max="14366" width="2.85546875" style="8" customWidth="1"/>
    <col min="14367" max="14367" width="2.85546875" style="8"/>
    <col min="14368" max="14368" width="4.5703125" style="8" customWidth="1"/>
    <col min="14369" max="14369" width="2.85546875" style="8"/>
    <col min="14370" max="14370" width="2.42578125" style="8" customWidth="1"/>
    <col min="14371" max="14373" width="2.85546875" style="8"/>
    <col min="14374" max="14374" width="2" style="8" customWidth="1"/>
    <col min="14375" max="14375" width="2.85546875" style="8"/>
    <col min="14376" max="14376" width="3.5703125" style="8" customWidth="1"/>
    <col min="14377" max="14377" width="2.85546875" style="8"/>
    <col min="14378" max="14378" width="2.28515625" style="8" customWidth="1"/>
    <col min="14379" max="14592" width="2.85546875" style="8"/>
    <col min="14593" max="14593" width="3.85546875" style="8" customWidth="1"/>
    <col min="14594" max="14594" width="3.5703125" style="8" customWidth="1"/>
    <col min="14595" max="14604" width="3.42578125" style="8" customWidth="1"/>
    <col min="14605" max="14606" width="2.85546875" style="8"/>
    <col min="14607" max="14607" width="2.28515625" style="8" customWidth="1"/>
    <col min="14608" max="14610" width="2.85546875" style="8"/>
    <col min="14611" max="14611" width="2.42578125" style="8" customWidth="1"/>
    <col min="14612" max="14618" width="2.85546875" style="8"/>
    <col min="14619" max="14619" width="5.28515625" style="8" customWidth="1"/>
    <col min="14620" max="14621" width="2.85546875" style="8"/>
    <col min="14622" max="14622" width="2.85546875" style="8" customWidth="1"/>
    <col min="14623" max="14623" width="2.85546875" style="8"/>
    <col min="14624" max="14624" width="4.5703125" style="8" customWidth="1"/>
    <col min="14625" max="14625" width="2.85546875" style="8"/>
    <col min="14626" max="14626" width="2.42578125" style="8" customWidth="1"/>
    <col min="14627" max="14629" width="2.85546875" style="8"/>
    <col min="14630" max="14630" width="2" style="8" customWidth="1"/>
    <col min="14631" max="14631" width="2.85546875" style="8"/>
    <col min="14632" max="14632" width="3.5703125" style="8" customWidth="1"/>
    <col min="14633" max="14633" width="2.85546875" style="8"/>
    <col min="14634" max="14634" width="2.28515625" style="8" customWidth="1"/>
    <col min="14635" max="14848" width="2.85546875" style="8"/>
    <col min="14849" max="14849" width="3.85546875" style="8" customWidth="1"/>
    <col min="14850" max="14850" width="3.5703125" style="8" customWidth="1"/>
    <col min="14851" max="14860" width="3.42578125" style="8" customWidth="1"/>
    <col min="14861" max="14862" width="2.85546875" style="8"/>
    <col min="14863" max="14863" width="2.28515625" style="8" customWidth="1"/>
    <col min="14864" max="14866" width="2.85546875" style="8"/>
    <col min="14867" max="14867" width="2.42578125" style="8" customWidth="1"/>
    <col min="14868" max="14874" width="2.85546875" style="8"/>
    <col min="14875" max="14875" width="5.28515625" style="8" customWidth="1"/>
    <col min="14876" max="14877" width="2.85546875" style="8"/>
    <col min="14878" max="14878" width="2.85546875" style="8" customWidth="1"/>
    <col min="14879" max="14879" width="2.85546875" style="8"/>
    <col min="14880" max="14880" width="4.5703125" style="8" customWidth="1"/>
    <col min="14881" max="14881" width="2.85546875" style="8"/>
    <col min="14882" max="14882" width="2.42578125" style="8" customWidth="1"/>
    <col min="14883" max="14885" width="2.85546875" style="8"/>
    <col min="14886" max="14886" width="2" style="8" customWidth="1"/>
    <col min="14887" max="14887" width="2.85546875" style="8"/>
    <col min="14888" max="14888" width="3.5703125" style="8" customWidth="1"/>
    <col min="14889" max="14889" width="2.85546875" style="8"/>
    <col min="14890" max="14890" width="2.28515625" style="8" customWidth="1"/>
    <col min="14891" max="15104" width="2.85546875" style="8"/>
    <col min="15105" max="15105" width="3.85546875" style="8" customWidth="1"/>
    <col min="15106" max="15106" width="3.5703125" style="8" customWidth="1"/>
    <col min="15107" max="15116" width="3.42578125" style="8" customWidth="1"/>
    <col min="15117" max="15118" width="2.85546875" style="8"/>
    <col min="15119" max="15119" width="2.28515625" style="8" customWidth="1"/>
    <col min="15120" max="15122" width="2.85546875" style="8"/>
    <col min="15123" max="15123" width="2.42578125" style="8" customWidth="1"/>
    <col min="15124" max="15130" width="2.85546875" style="8"/>
    <col min="15131" max="15131" width="5.28515625" style="8" customWidth="1"/>
    <col min="15132" max="15133" width="2.85546875" style="8"/>
    <col min="15134" max="15134" width="2.85546875" style="8" customWidth="1"/>
    <col min="15135" max="15135" width="2.85546875" style="8"/>
    <col min="15136" max="15136" width="4.5703125" style="8" customWidth="1"/>
    <col min="15137" max="15137" width="2.85546875" style="8"/>
    <col min="15138" max="15138" width="2.42578125" style="8" customWidth="1"/>
    <col min="15139" max="15141" width="2.85546875" style="8"/>
    <col min="15142" max="15142" width="2" style="8" customWidth="1"/>
    <col min="15143" max="15143" width="2.85546875" style="8"/>
    <col min="15144" max="15144" width="3.5703125" style="8" customWidth="1"/>
    <col min="15145" max="15145" width="2.85546875" style="8"/>
    <col min="15146" max="15146" width="2.28515625" style="8" customWidth="1"/>
    <col min="15147" max="15360" width="2.85546875" style="8"/>
    <col min="15361" max="15361" width="3.85546875" style="8" customWidth="1"/>
    <col min="15362" max="15362" width="3.5703125" style="8" customWidth="1"/>
    <col min="15363" max="15372" width="3.42578125" style="8" customWidth="1"/>
    <col min="15373" max="15374" width="2.85546875" style="8"/>
    <col min="15375" max="15375" width="2.28515625" style="8" customWidth="1"/>
    <col min="15376" max="15378" width="2.85546875" style="8"/>
    <col min="15379" max="15379" width="2.42578125" style="8" customWidth="1"/>
    <col min="15380" max="15386" width="2.85546875" style="8"/>
    <col min="15387" max="15387" width="5.28515625" style="8" customWidth="1"/>
    <col min="15388" max="15389" width="2.85546875" style="8"/>
    <col min="15390" max="15390" width="2.85546875" style="8" customWidth="1"/>
    <col min="15391" max="15391" width="2.85546875" style="8"/>
    <col min="15392" max="15392" width="4.5703125" style="8" customWidth="1"/>
    <col min="15393" max="15393" width="2.85546875" style="8"/>
    <col min="15394" max="15394" width="2.42578125" style="8" customWidth="1"/>
    <col min="15395" max="15397" width="2.85546875" style="8"/>
    <col min="15398" max="15398" width="2" style="8" customWidth="1"/>
    <col min="15399" max="15399" width="2.85546875" style="8"/>
    <col min="15400" max="15400" width="3.5703125" style="8" customWidth="1"/>
    <col min="15401" max="15401" width="2.85546875" style="8"/>
    <col min="15402" max="15402" width="2.28515625" style="8" customWidth="1"/>
    <col min="15403" max="15616" width="2.85546875" style="8"/>
    <col min="15617" max="15617" width="3.85546875" style="8" customWidth="1"/>
    <col min="15618" max="15618" width="3.5703125" style="8" customWidth="1"/>
    <col min="15619" max="15628" width="3.42578125" style="8" customWidth="1"/>
    <col min="15629" max="15630" width="2.85546875" style="8"/>
    <col min="15631" max="15631" width="2.28515625" style="8" customWidth="1"/>
    <col min="15632" max="15634" width="2.85546875" style="8"/>
    <col min="15635" max="15635" width="2.42578125" style="8" customWidth="1"/>
    <col min="15636" max="15642" width="2.85546875" style="8"/>
    <col min="15643" max="15643" width="5.28515625" style="8" customWidth="1"/>
    <col min="15644" max="15645" width="2.85546875" style="8"/>
    <col min="15646" max="15646" width="2.85546875" style="8" customWidth="1"/>
    <col min="15647" max="15647" width="2.85546875" style="8"/>
    <col min="15648" max="15648" width="4.5703125" style="8" customWidth="1"/>
    <col min="15649" max="15649" width="2.85546875" style="8"/>
    <col min="15650" max="15650" width="2.42578125" style="8" customWidth="1"/>
    <col min="15651" max="15653" width="2.85546875" style="8"/>
    <col min="15654" max="15654" width="2" style="8" customWidth="1"/>
    <col min="15655" max="15655" width="2.85546875" style="8"/>
    <col min="15656" max="15656" width="3.5703125" style="8" customWidth="1"/>
    <col min="15657" max="15657" width="2.85546875" style="8"/>
    <col min="15658" max="15658" width="2.28515625" style="8" customWidth="1"/>
    <col min="15659" max="15872" width="2.85546875" style="8"/>
    <col min="15873" max="15873" width="3.85546875" style="8" customWidth="1"/>
    <col min="15874" max="15874" width="3.5703125" style="8" customWidth="1"/>
    <col min="15875" max="15884" width="3.42578125" style="8" customWidth="1"/>
    <col min="15885" max="15886" width="2.85546875" style="8"/>
    <col min="15887" max="15887" width="2.28515625" style="8" customWidth="1"/>
    <col min="15888" max="15890" width="2.85546875" style="8"/>
    <col min="15891" max="15891" width="2.42578125" style="8" customWidth="1"/>
    <col min="15892" max="15898" width="2.85546875" style="8"/>
    <col min="15899" max="15899" width="5.28515625" style="8" customWidth="1"/>
    <col min="15900" max="15901" width="2.85546875" style="8"/>
    <col min="15902" max="15902" width="2.85546875" style="8" customWidth="1"/>
    <col min="15903" max="15903" width="2.85546875" style="8"/>
    <col min="15904" max="15904" width="4.5703125" style="8" customWidth="1"/>
    <col min="15905" max="15905" width="2.85546875" style="8"/>
    <col min="15906" max="15906" width="2.42578125" style="8" customWidth="1"/>
    <col min="15907" max="15909" width="2.85546875" style="8"/>
    <col min="15910" max="15910" width="2" style="8" customWidth="1"/>
    <col min="15911" max="15911" width="2.85546875" style="8"/>
    <col min="15912" max="15912" width="3.5703125" style="8" customWidth="1"/>
    <col min="15913" max="15913" width="2.85546875" style="8"/>
    <col min="15914" max="15914" width="2.28515625" style="8" customWidth="1"/>
    <col min="15915" max="16128" width="2.85546875" style="8"/>
    <col min="16129" max="16129" width="3.85546875" style="8" customWidth="1"/>
    <col min="16130" max="16130" width="3.5703125" style="8" customWidth="1"/>
    <col min="16131" max="16140" width="3.42578125" style="8" customWidth="1"/>
    <col min="16141" max="16142" width="2.85546875" style="8"/>
    <col min="16143" max="16143" width="2.28515625" style="8" customWidth="1"/>
    <col min="16144" max="16146" width="2.85546875" style="8"/>
    <col min="16147" max="16147" width="2.42578125" style="8" customWidth="1"/>
    <col min="16148" max="16154" width="2.85546875" style="8"/>
    <col min="16155" max="16155" width="5.28515625" style="8" customWidth="1"/>
    <col min="16156" max="16157" width="2.85546875" style="8"/>
    <col min="16158" max="16158" width="2.85546875" style="8" customWidth="1"/>
    <col min="16159" max="16159" width="2.85546875" style="8"/>
    <col min="16160" max="16160" width="4.5703125" style="8" customWidth="1"/>
    <col min="16161" max="16161" width="2.85546875" style="8"/>
    <col min="16162" max="16162" width="2.42578125" style="8" customWidth="1"/>
    <col min="16163" max="16165" width="2.85546875" style="8"/>
    <col min="16166" max="16166" width="2" style="8" customWidth="1"/>
    <col min="16167" max="16167" width="2.85546875" style="8"/>
    <col min="16168" max="16168" width="3.5703125" style="8" customWidth="1"/>
    <col min="16169" max="16169" width="2.85546875" style="8"/>
    <col min="16170" max="16170" width="2.28515625" style="8" customWidth="1"/>
    <col min="16171" max="16384" width="2.85546875" style="8"/>
  </cols>
  <sheetData>
    <row r="1" spans="1:48" s="1" customFormat="1" ht="15.75">
      <c r="A1" s="117"/>
      <c r="B1" s="117"/>
      <c r="C1" s="117"/>
      <c r="D1" s="117"/>
      <c r="E1" s="117"/>
      <c r="F1" s="118" t="s">
        <v>6</v>
      </c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8"/>
      <c r="V1" s="118"/>
      <c r="W1" s="118"/>
      <c r="X1" s="21" t="s">
        <v>7</v>
      </c>
      <c r="Y1" s="21"/>
      <c r="Z1" s="21"/>
      <c r="AA1" s="84"/>
      <c r="AB1" s="85"/>
      <c r="AC1" s="85"/>
      <c r="AD1" s="85"/>
      <c r="AE1" s="85"/>
      <c r="AF1" s="86"/>
      <c r="AG1" s="87" t="s">
        <v>8</v>
      </c>
      <c r="AH1" s="88"/>
      <c r="AI1" s="88"/>
      <c r="AJ1" s="88"/>
      <c r="AK1" s="89"/>
      <c r="AL1" s="90"/>
      <c r="AM1" s="91"/>
      <c r="AN1" s="91"/>
      <c r="AO1" s="91"/>
      <c r="AP1" s="91"/>
      <c r="AQ1" s="91"/>
      <c r="AR1" s="92"/>
    </row>
    <row r="2" spans="1:48" s="1" customFormat="1" ht="15.75">
      <c r="A2" s="117"/>
      <c r="B2" s="117"/>
      <c r="C2" s="117"/>
      <c r="D2" s="117"/>
      <c r="E2" s="117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</row>
    <row r="3" spans="1:48" s="1" customFormat="1" ht="15.75">
      <c r="A3" s="117"/>
      <c r="B3" s="117"/>
      <c r="C3" s="117"/>
      <c r="D3" s="117"/>
      <c r="E3" s="117"/>
      <c r="F3" s="21" t="s">
        <v>9</v>
      </c>
      <c r="G3" s="21"/>
      <c r="H3" s="21"/>
      <c r="I3" s="21"/>
      <c r="J3" s="99" t="s">
        <v>109</v>
      </c>
      <c r="K3" s="100"/>
      <c r="L3" s="100"/>
      <c r="M3" s="100"/>
      <c r="N3" s="100"/>
      <c r="O3" s="100"/>
      <c r="P3" s="100"/>
      <c r="Q3" s="100"/>
      <c r="R3" s="100"/>
      <c r="S3" s="100"/>
      <c r="T3" s="101"/>
      <c r="U3" s="87" t="s">
        <v>10</v>
      </c>
      <c r="V3" s="88"/>
      <c r="W3" s="88"/>
      <c r="X3" s="88"/>
      <c r="Y3" s="88"/>
      <c r="Z3" s="88"/>
      <c r="AA3" s="90"/>
      <c r="AB3" s="91"/>
      <c r="AC3" s="91"/>
      <c r="AD3" s="91"/>
      <c r="AE3" s="91"/>
      <c r="AF3" s="92"/>
      <c r="AG3" s="87" t="s">
        <v>11</v>
      </c>
      <c r="AH3" s="88"/>
      <c r="AI3" s="88"/>
      <c r="AJ3" s="88"/>
      <c r="AK3" s="89"/>
      <c r="AL3" s="90"/>
      <c r="AM3" s="91"/>
      <c r="AN3" s="91"/>
      <c r="AO3" s="91"/>
      <c r="AP3" s="91"/>
      <c r="AQ3" s="91"/>
      <c r="AR3" s="92"/>
    </row>
    <row r="4" spans="1:48" s="1" customFormat="1" ht="1.5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</row>
    <row r="5" spans="1:48" s="1" customFormat="1" ht="18.75">
      <c r="A5" s="21" t="s">
        <v>12</v>
      </c>
      <c r="B5" s="21"/>
      <c r="C5" s="21"/>
      <c r="D5" s="112"/>
      <c r="E5" s="112"/>
      <c r="F5" s="112"/>
      <c r="G5" s="112"/>
      <c r="H5" s="112"/>
      <c r="I5" s="112"/>
      <c r="J5" s="112"/>
      <c r="K5" s="87" t="s">
        <v>13</v>
      </c>
      <c r="L5" s="88"/>
      <c r="M5" s="89"/>
      <c r="N5" s="113"/>
      <c r="O5" s="113"/>
      <c r="P5" s="113"/>
      <c r="Q5" s="21" t="s">
        <v>14</v>
      </c>
      <c r="R5" s="21"/>
      <c r="S5" s="112"/>
      <c r="T5" s="112"/>
      <c r="U5" s="112"/>
      <c r="V5" s="112"/>
      <c r="W5" s="21" t="s">
        <v>15</v>
      </c>
      <c r="X5" s="21"/>
      <c r="Y5" s="21"/>
      <c r="Z5" s="114"/>
      <c r="AA5" s="115"/>
      <c r="AB5" s="115"/>
      <c r="AC5" s="115"/>
      <c r="AD5" s="115"/>
      <c r="AE5" s="115"/>
      <c r="AF5" s="116"/>
      <c r="AG5" s="87" t="s">
        <v>16</v>
      </c>
      <c r="AH5" s="88"/>
      <c r="AI5" s="88"/>
      <c r="AJ5" s="88"/>
      <c r="AK5" s="89"/>
      <c r="AL5" s="90"/>
      <c r="AM5" s="91"/>
      <c r="AN5" s="91"/>
      <c r="AO5" s="91"/>
      <c r="AP5" s="91"/>
      <c r="AQ5" s="91"/>
      <c r="AR5" s="92"/>
    </row>
    <row r="6" spans="1:48" s="6" customFormat="1" ht="2.25" customHeight="1">
      <c r="A6" s="3"/>
      <c r="B6" s="3"/>
      <c r="C6" s="3"/>
      <c r="D6" s="4"/>
      <c r="E6" s="4"/>
      <c r="F6" s="4"/>
      <c r="G6" s="4"/>
      <c r="H6" s="4"/>
      <c r="I6" s="4"/>
      <c r="J6" s="4"/>
      <c r="K6" s="3"/>
      <c r="L6" s="3"/>
      <c r="M6" s="3"/>
      <c r="N6" s="4" t="s">
        <v>110</v>
      </c>
      <c r="O6" s="4"/>
      <c r="P6" s="4"/>
      <c r="Q6" s="3"/>
      <c r="R6" s="3"/>
      <c r="S6" s="4"/>
      <c r="T6" s="4"/>
      <c r="U6" s="4"/>
      <c r="V6" s="4"/>
      <c r="W6" s="3"/>
      <c r="X6" s="3"/>
      <c r="Y6" s="3"/>
      <c r="Z6" s="4"/>
      <c r="AA6" s="4"/>
      <c r="AB6" s="4"/>
      <c r="AC6" s="4"/>
      <c r="AD6" s="4"/>
      <c r="AE6" s="4"/>
      <c r="AF6" s="4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</row>
    <row r="7" spans="1:48" s="1" customFormat="1" ht="16.5" customHeight="1">
      <c r="A7" s="21" t="s">
        <v>17</v>
      </c>
      <c r="B7" s="21"/>
      <c r="C7" s="21"/>
      <c r="D7" s="107"/>
      <c r="E7" s="107"/>
      <c r="F7" s="107"/>
      <c r="G7" s="107"/>
      <c r="H7" s="107"/>
      <c r="I7" s="87" t="s">
        <v>18</v>
      </c>
      <c r="J7" s="88"/>
      <c r="K7" s="89"/>
      <c r="L7" s="108">
        <f>D7*N5</f>
        <v>0</v>
      </c>
      <c r="M7" s="109"/>
      <c r="N7" s="109"/>
      <c r="O7" s="109"/>
      <c r="P7" s="109"/>
      <c r="Q7" s="110"/>
      <c r="R7" s="21" t="s">
        <v>19</v>
      </c>
      <c r="S7" s="21"/>
      <c r="T7" s="21"/>
      <c r="U7" s="111"/>
      <c r="V7" s="112"/>
      <c r="W7" s="112"/>
      <c r="X7" s="112"/>
      <c r="Y7" s="112"/>
      <c r="Z7" s="112"/>
      <c r="AA7" s="112"/>
      <c r="AB7" s="112"/>
      <c r="AC7" s="112"/>
      <c r="AD7" s="21" t="s">
        <v>20</v>
      </c>
      <c r="AE7" s="21"/>
      <c r="AF7" s="21"/>
      <c r="AG7" s="21"/>
      <c r="AH7" s="21"/>
      <c r="AI7" s="111"/>
      <c r="AJ7" s="112"/>
      <c r="AK7" s="112"/>
      <c r="AL7" s="112"/>
      <c r="AM7" s="112"/>
      <c r="AN7" s="112"/>
      <c r="AO7" s="112"/>
      <c r="AP7" s="112"/>
      <c r="AQ7" s="112"/>
      <c r="AR7" s="112"/>
    </row>
    <row r="8" spans="1:48" ht="2.25" customHeight="1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</row>
    <row r="9" spans="1:48">
      <c r="A9" s="82" t="s">
        <v>14</v>
      </c>
      <c r="B9" s="82"/>
      <c r="C9" s="82" t="s">
        <v>21</v>
      </c>
      <c r="D9" s="82"/>
      <c r="E9" s="82"/>
      <c r="F9" s="82"/>
      <c r="G9" s="82"/>
      <c r="H9" s="82"/>
      <c r="I9" s="82"/>
      <c r="J9" s="82"/>
      <c r="K9" s="82"/>
      <c r="L9" s="82"/>
      <c r="M9" s="103" t="s">
        <v>22</v>
      </c>
      <c r="N9" s="21" t="s">
        <v>23</v>
      </c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82" t="s">
        <v>0</v>
      </c>
      <c r="AA9" s="82"/>
      <c r="AB9" s="95" t="s">
        <v>24</v>
      </c>
      <c r="AC9" s="105"/>
      <c r="AD9" s="96"/>
      <c r="AE9" s="95"/>
      <c r="AF9" s="96"/>
      <c r="AG9" s="21" t="s">
        <v>25</v>
      </c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</row>
    <row r="10" spans="1:48">
      <c r="A10" s="82"/>
      <c r="B10" s="82"/>
      <c r="C10" s="82"/>
      <c r="D10" s="82"/>
      <c r="E10" s="82"/>
      <c r="F10" s="82"/>
      <c r="G10" s="82"/>
      <c r="H10" s="82"/>
      <c r="I10" s="82"/>
      <c r="J10" s="82"/>
      <c r="K10" s="82"/>
      <c r="L10" s="82"/>
      <c r="M10" s="104"/>
      <c r="N10" s="81" t="s">
        <v>26</v>
      </c>
      <c r="O10" s="22"/>
      <c r="P10" s="22" t="s">
        <v>0</v>
      </c>
      <c r="Q10" s="22"/>
      <c r="R10" s="81" t="s">
        <v>26</v>
      </c>
      <c r="S10" s="22"/>
      <c r="T10" s="22" t="s">
        <v>0</v>
      </c>
      <c r="U10" s="22"/>
      <c r="V10" s="81" t="s">
        <v>26</v>
      </c>
      <c r="W10" s="22"/>
      <c r="X10" s="22" t="s">
        <v>0</v>
      </c>
      <c r="Y10" s="22"/>
      <c r="Z10" s="82"/>
      <c r="AA10" s="82"/>
      <c r="AB10" s="97"/>
      <c r="AC10" s="106"/>
      <c r="AD10" s="98"/>
      <c r="AE10" s="97"/>
      <c r="AF10" s="98"/>
      <c r="AG10" s="81" t="s">
        <v>26</v>
      </c>
      <c r="AH10" s="22"/>
      <c r="AI10" s="22" t="s">
        <v>27</v>
      </c>
      <c r="AJ10" s="22"/>
      <c r="AK10" s="81" t="s">
        <v>26</v>
      </c>
      <c r="AL10" s="22"/>
      <c r="AM10" s="22" t="s">
        <v>27</v>
      </c>
      <c r="AN10" s="22"/>
      <c r="AO10" s="81" t="s">
        <v>26</v>
      </c>
      <c r="AP10" s="22"/>
      <c r="AQ10" s="22" t="s">
        <v>27</v>
      </c>
      <c r="AR10" s="22"/>
    </row>
    <row r="11" spans="1:48" ht="16.350000000000001" customHeight="1">
      <c r="A11" s="64"/>
      <c r="B11" s="64"/>
      <c r="C11" s="64" t="s">
        <v>28</v>
      </c>
      <c r="D11" s="64"/>
      <c r="E11" s="64"/>
      <c r="F11" s="64"/>
      <c r="G11" s="64"/>
      <c r="H11" s="64"/>
      <c r="I11" s="64"/>
      <c r="J11" s="64"/>
      <c r="K11" s="64"/>
      <c r="L11" s="64"/>
      <c r="M11" s="9"/>
      <c r="N11" s="77"/>
      <c r="O11" s="77"/>
      <c r="P11" s="78"/>
      <c r="Q11" s="78"/>
      <c r="R11" s="77"/>
      <c r="S11" s="77"/>
      <c r="T11" s="78"/>
      <c r="U11" s="78"/>
      <c r="V11" s="77"/>
      <c r="W11" s="77"/>
      <c r="X11" s="78"/>
      <c r="Y11" s="78"/>
      <c r="Z11" s="59"/>
      <c r="AA11" s="60"/>
      <c r="AB11" s="61">
        <f>Z11*L7/100</f>
        <v>0</v>
      </c>
      <c r="AC11" s="61"/>
      <c r="AD11" s="61"/>
      <c r="AE11" s="93" t="e">
        <f>AB11/L7</f>
        <v>#DIV/0!</v>
      </c>
      <c r="AF11" s="94"/>
      <c r="AG11" s="77"/>
      <c r="AH11" s="77"/>
      <c r="AI11" s="83"/>
      <c r="AJ11" s="83"/>
      <c r="AK11" s="77"/>
      <c r="AL11" s="77"/>
      <c r="AM11" s="78"/>
      <c r="AN11" s="78"/>
      <c r="AO11" s="77"/>
      <c r="AP11" s="77"/>
      <c r="AQ11" s="78"/>
      <c r="AR11" s="78"/>
      <c r="AV11" s="10"/>
    </row>
    <row r="12" spans="1:48" ht="16.350000000000001" customHeight="1">
      <c r="A12" s="64"/>
      <c r="B12" s="64"/>
      <c r="C12" s="64" t="s">
        <v>29</v>
      </c>
      <c r="D12" s="64"/>
      <c r="E12" s="64"/>
      <c r="F12" s="64"/>
      <c r="G12" s="64"/>
      <c r="H12" s="64"/>
      <c r="I12" s="64"/>
      <c r="J12" s="64"/>
      <c r="K12" s="64"/>
      <c r="L12" s="64"/>
      <c r="M12" s="9"/>
      <c r="N12" s="64" t="s">
        <v>30</v>
      </c>
      <c r="O12" s="64"/>
      <c r="P12" s="79">
        <v>17</v>
      </c>
      <c r="Q12" s="79"/>
      <c r="R12" s="77"/>
      <c r="S12" s="77"/>
      <c r="T12" s="78"/>
      <c r="U12" s="78"/>
      <c r="V12" s="77"/>
      <c r="W12" s="77"/>
      <c r="X12" s="78"/>
      <c r="Y12" s="78"/>
      <c r="Z12" s="59"/>
      <c r="AA12" s="60"/>
      <c r="AB12" s="61">
        <f>Z12*L7/100</f>
        <v>0</v>
      </c>
      <c r="AC12" s="61"/>
      <c r="AD12" s="61"/>
      <c r="AE12" s="62" t="e">
        <f>AB12/L7</f>
        <v>#DIV/0!</v>
      </c>
      <c r="AF12" s="63"/>
      <c r="AG12" s="64" t="s">
        <v>30</v>
      </c>
      <c r="AH12" s="64"/>
      <c r="AI12" s="74">
        <f>Z12*P12/100</f>
        <v>0</v>
      </c>
      <c r="AJ12" s="74"/>
      <c r="AK12" s="77"/>
      <c r="AL12" s="77"/>
      <c r="AM12" s="78"/>
      <c r="AN12" s="78"/>
      <c r="AO12" s="77"/>
      <c r="AP12" s="77"/>
      <c r="AQ12" s="78"/>
      <c r="AR12" s="78"/>
      <c r="AT12" s="32"/>
      <c r="AU12" s="102"/>
      <c r="AV12" s="10"/>
    </row>
    <row r="13" spans="1:48" ht="16.350000000000001" customHeight="1">
      <c r="A13" s="64"/>
      <c r="B13" s="64"/>
      <c r="C13" s="64" t="s">
        <v>31</v>
      </c>
      <c r="D13" s="64"/>
      <c r="E13" s="64"/>
      <c r="F13" s="64"/>
      <c r="G13" s="64"/>
      <c r="H13" s="64"/>
      <c r="I13" s="64"/>
      <c r="J13" s="64"/>
      <c r="K13" s="64"/>
      <c r="L13" s="64"/>
      <c r="M13" s="9"/>
      <c r="N13" s="64" t="s">
        <v>30</v>
      </c>
      <c r="O13" s="64"/>
      <c r="P13" s="79">
        <v>10</v>
      </c>
      <c r="Q13" s="79"/>
      <c r="R13" s="77"/>
      <c r="S13" s="77"/>
      <c r="T13" s="78"/>
      <c r="U13" s="78"/>
      <c r="V13" s="77"/>
      <c r="W13" s="77"/>
      <c r="X13" s="78"/>
      <c r="Y13" s="78"/>
      <c r="Z13" s="59"/>
      <c r="AA13" s="60"/>
      <c r="AB13" s="61">
        <f>Z13*L7/100</f>
        <v>0</v>
      </c>
      <c r="AC13" s="61"/>
      <c r="AD13" s="61"/>
      <c r="AE13" s="62" t="e">
        <f>AB13/L7</f>
        <v>#DIV/0!</v>
      </c>
      <c r="AF13" s="63"/>
      <c r="AG13" s="64" t="s">
        <v>30</v>
      </c>
      <c r="AH13" s="64"/>
      <c r="AI13" s="74">
        <f>Z13*P13/100</f>
        <v>0</v>
      </c>
      <c r="AJ13" s="74"/>
      <c r="AK13" s="77"/>
      <c r="AL13" s="77"/>
      <c r="AM13" s="78"/>
      <c r="AN13" s="78"/>
      <c r="AO13" s="77"/>
      <c r="AP13" s="77"/>
      <c r="AQ13" s="78"/>
      <c r="AR13" s="78"/>
      <c r="AV13" s="10"/>
    </row>
    <row r="14" spans="1:48" ht="16.350000000000001" customHeight="1">
      <c r="A14" s="64"/>
      <c r="B14" s="64"/>
      <c r="C14" s="64" t="s">
        <v>32</v>
      </c>
      <c r="D14" s="64"/>
      <c r="E14" s="64"/>
      <c r="F14" s="64"/>
      <c r="G14" s="64"/>
      <c r="H14" s="64"/>
      <c r="I14" s="64"/>
      <c r="J14" s="64"/>
      <c r="K14" s="64"/>
      <c r="L14" s="64"/>
      <c r="M14" s="9"/>
      <c r="N14" s="77"/>
      <c r="O14" s="77"/>
      <c r="P14" s="78"/>
      <c r="Q14" s="78"/>
      <c r="R14" s="77"/>
      <c r="S14" s="77"/>
      <c r="T14" s="78"/>
      <c r="U14" s="78"/>
      <c r="V14" s="77"/>
      <c r="W14" s="77"/>
      <c r="X14" s="78"/>
      <c r="Y14" s="78"/>
      <c r="Z14" s="59"/>
      <c r="AA14" s="60"/>
      <c r="AB14" s="61">
        <f>Z14*L7/100</f>
        <v>0</v>
      </c>
      <c r="AC14" s="61"/>
      <c r="AD14" s="61"/>
      <c r="AE14" s="62" t="e">
        <f>AB14/L7</f>
        <v>#DIV/0!</v>
      </c>
      <c r="AF14" s="63"/>
      <c r="AG14" s="80"/>
      <c r="AH14" s="80"/>
      <c r="AI14" s="69"/>
      <c r="AJ14" s="69"/>
      <c r="AK14" s="77"/>
      <c r="AL14" s="77"/>
      <c r="AM14" s="78"/>
      <c r="AN14" s="78"/>
      <c r="AO14" s="77"/>
      <c r="AP14" s="77"/>
      <c r="AQ14" s="78"/>
      <c r="AR14" s="78"/>
      <c r="AV14" s="10"/>
    </row>
    <row r="15" spans="1:48" ht="16.350000000000001" customHeight="1">
      <c r="A15" s="64"/>
      <c r="B15" s="64"/>
      <c r="C15" s="44" t="s">
        <v>33</v>
      </c>
      <c r="D15" s="65"/>
      <c r="E15" s="65"/>
      <c r="F15" s="65"/>
      <c r="G15" s="65"/>
      <c r="H15" s="65"/>
      <c r="I15" s="65"/>
      <c r="J15" s="65"/>
      <c r="K15" s="65"/>
      <c r="L15" s="45"/>
      <c r="M15" s="11"/>
      <c r="N15" s="44" t="s">
        <v>34</v>
      </c>
      <c r="O15" s="45"/>
      <c r="P15" s="46">
        <v>61.5</v>
      </c>
      <c r="Q15" s="47"/>
      <c r="R15" s="57"/>
      <c r="S15" s="58"/>
      <c r="T15" s="48"/>
      <c r="U15" s="49"/>
      <c r="V15" s="57"/>
      <c r="W15" s="58"/>
      <c r="X15" s="48"/>
      <c r="Y15" s="49"/>
      <c r="Z15" s="59"/>
      <c r="AA15" s="60"/>
      <c r="AB15" s="61">
        <f>Z15*L7/100</f>
        <v>0</v>
      </c>
      <c r="AC15" s="61"/>
      <c r="AD15" s="61"/>
      <c r="AE15" s="62" t="e">
        <f>AB15/L7</f>
        <v>#DIV/0!</v>
      </c>
      <c r="AF15" s="63"/>
      <c r="AG15" s="44" t="s">
        <v>34</v>
      </c>
      <c r="AH15" s="45"/>
      <c r="AI15" s="37">
        <f t="shared" ref="AI15:AI38" si="0">Z15*P15/100</f>
        <v>0</v>
      </c>
      <c r="AJ15" s="37"/>
      <c r="AK15" s="57"/>
      <c r="AL15" s="58"/>
      <c r="AM15" s="48"/>
      <c r="AN15" s="49"/>
      <c r="AO15" s="57"/>
      <c r="AP15" s="58"/>
      <c r="AQ15" s="48"/>
      <c r="AR15" s="49"/>
      <c r="AV15" s="10"/>
    </row>
    <row r="16" spans="1:48" ht="16.350000000000001" customHeight="1">
      <c r="A16" s="64"/>
      <c r="B16" s="64"/>
      <c r="C16" s="44" t="s">
        <v>35</v>
      </c>
      <c r="D16" s="65"/>
      <c r="E16" s="65"/>
      <c r="F16" s="65"/>
      <c r="G16" s="65"/>
      <c r="H16" s="65"/>
      <c r="I16" s="65"/>
      <c r="J16" s="65"/>
      <c r="K16" s="65"/>
      <c r="L16" s="45"/>
      <c r="M16" s="11"/>
      <c r="N16" s="44" t="s">
        <v>34</v>
      </c>
      <c r="O16" s="45"/>
      <c r="P16" s="46">
        <v>85</v>
      </c>
      <c r="Q16" s="47"/>
      <c r="R16" s="57"/>
      <c r="S16" s="58"/>
      <c r="T16" s="48"/>
      <c r="U16" s="49"/>
      <c r="V16" s="57"/>
      <c r="W16" s="58"/>
      <c r="X16" s="48"/>
      <c r="Y16" s="49"/>
      <c r="Z16" s="59"/>
      <c r="AA16" s="60"/>
      <c r="AB16" s="61">
        <f>Z16*L7/100</f>
        <v>0</v>
      </c>
      <c r="AC16" s="61"/>
      <c r="AD16" s="61"/>
      <c r="AE16" s="62" t="e">
        <f>AB16/L7</f>
        <v>#DIV/0!</v>
      </c>
      <c r="AF16" s="63"/>
      <c r="AG16" s="44" t="s">
        <v>34</v>
      </c>
      <c r="AH16" s="45"/>
      <c r="AI16" s="37">
        <f t="shared" si="0"/>
        <v>0</v>
      </c>
      <c r="AJ16" s="37"/>
      <c r="AK16" s="57"/>
      <c r="AL16" s="58"/>
      <c r="AM16" s="48"/>
      <c r="AN16" s="49"/>
      <c r="AO16" s="57"/>
      <c r="AP16" s="58"/>
      <c r="AQ16" s="48"/>
      <c r="AR16" s="49"/>
      <c r="AV16" s="10"/>
    </row>
    <row r="17" spans="1:48" ht="16.350000000000001" customHeight="1">
      <c r="A17" s="64"/>
      <c r="B17" s="64"/>
      <c r="C17" s="44" t="s">
        <v>36</v>
      </c>
      <c r="D17" s="65"/>
      <c r="E17" s="65"/>
      <c r="F17" s="65"/>
      <c r="G17" s="65"/>
      <c r="H17" s="65"/>
      <c r="I17" s="65"/>
      <c r="J17" s="65"/>
      <c r="K17" s="65"/>
      <c r="L17" s="45"/>
      <c r="M17" s="11"/>
      <c r="N17" s="44" t="s">
        <v>37</v>
      </c>
      <c r="O17" s="45"/>
      <c r="P17" s="46">
        <v>11.8</v>
      </c>
      <c r="Q17" s="47"/>
      <c r="R17" s="57"/>
      <c r="S17" s="58"/>
      <c r="T17" s="48"/>
      <c r="U17" s="49"/>
      <c r="V17" s="57"/>
      <c r="W17" s="58"/>
      <c r="X17" s="48"/>
      <c r="Y17" s="49"/>
      <c r="Z17" s="59"/>
      <c r="AA17" s="60"/>
      <c r="AB17" s="61">
        <f>Z17*L7/100</f>
        <v>0</v>
      </c>
      <c r="AC17" s="61"/>
      <c r="AD17" s="61"/>
      <c r="AE17" s="62" t="e">
        <f>AB17/L7</f>
        <v>#DIV/0!</v>
      </c>
      <c r="AF17" s="63"/>
      <c r="AG17" s="44" t="s">
        <v>37</v>
      </c>
      <c r="AH17" s="45"/>
      <c r="AI17" s="37">
        <f t="shared" si="0"/>
        <v>0</v>
      </c>
      <c r="AJ17" s="37"/>
      <c r="AK17" s="57"/>
      <c r="AL17" s="58"/>
      <c r="AM17" s="48"/>
      <c r="AN17" s="49"/>
      <c r="AO17" s="57"/>
      <c r="AP17" s="58"/>
      <c r="AQ17" s="48"/>
      <c r="AR17" s="49"/>
      <c r="AV17" s="10"/>
    </row>
    <row r="18" spans="1:48" ht="16.350000000000001" customHeight="1">
      <c r="A18" s="64"/>
      <c r="B18" s="64"/>
      <c r="C18" s="44" t="s">
        <v>38</v>
      </c>
      <c r="D18" s="65"/>
      <c r="E18" s="65"/>
      <c r="F18" s="65"/>
      <c r="G18" s="65"/>
      <c r="H18" s="65"/>
      <c r="I18" s="65"/>
      <c r="J18" s="65"/>
      <c r="K18" s="65"/>
      <c r="L18" s="45"/>
      <c r="M18" s="11"/>
      <c r="N18" s="44" t="s">
        <v>4</v>
      </c>
      <c r="O18" s="45"/>
      <c r="P18" s="46">
        <v>32</v>
      </c>
      <c r="Q18" s="47"/>
      <c r="R18" s="57"/>
      <c r="S18" s="58"/>
      <c r="T18" s="48"/>
      <c r="U18" s="49"/>
      <c r="V18" s="57"/>
      <c r="W18" s="58"/>
      <c r="X18" s="48"/>
      <c r="Y18" s="49"/>
      <c r="Z18" s="59"/>
      <c r="AA18" s="60"/>
      <c r="AB18" s="61">
        <f>Z18*L7/100</f>
        <v>0</v>
      </c>
      <c r="AC18" s="61"/>
      <c r="AD18" s="61"/>
      <c r="AE18" s="62" t="e">
        <f>AB18/L7</f>
        <v>#DIV/0!</v>
      </c>
      <c r="AF18" s="63"/>
      <c r="AG18" s="44" t="s">
        <v>4</v>
      </c>
      <c r="AH18" s="45"/>
      <c r="AI18" s="37">
        <f t="shared" si="0"/>
        <v>0</v>
      </c>
      <c r="AJ18" s="37"/>
      <c r="AK18" s="57"/>
      <c r="AL18" s="58"/>
      <c r="AM18" s="48"/>
      <c r="AN18" s="49"/>
      <c r="AO18" s="57"/>
      <c r="AP18" s="58"/>
      <c r="AQ18" s="48"/>
      <c r="AR18" s="49"/>
      <c r="AV18" s="10"/>
    </row>
    <row r="19" spans="1:48" ht="16.350000000000001" customHeight="1">
      <c r="A19" s="64"/>
      <c r="B19" s="64"/>
      <c r="C19" s="44" t="s">
        <v>39</v>
      </c>
      <c r="D19" s="65"/>
      <c r="E19" s="65"/>
      <c r="F19" s="65"/>
      <c r="G19" s="65"/>
      <c r="H19" s="65"/>
      <c r="I19" s="65"/>
      <c r="J19" s="65"/>
      <c r="K19" s="65"/>
      <c r="L19" s="45"/>
      <c r="M19" s="11"/>
      <c r="N19" s="44" t="s">
        <v>37</v>
      </c>
      <c r="O19" s="45"/>
      <c r="P19" s="46">
        <v>15</v>
      </c>
      <c r="Q19" s="47"/>
      <c r="R19" s="44" t="s">
        <v>40</v>
      </c>
      <c r="S19" s="45"/>
      <c r="T19" s="46">
        <v>12</v>
      </c>
      <c r="U19" s="47"/>
      <c r="V19" s="67"/>
      <c r="W19" s="68"/>
      <c r="X19" s="70"/>
      <c r="Y19" s="71"/>
      <c r="Z19" s="59"/>
      <c r="AA19" s="60"/>
      <c r="AB19" s="61">
        <f>Z19*L7/100</f>
        <v>0</v>
      </c>
      <c r="AC19" s="61"/>
      <c r="AD19" s="61"/>
      <c r="AE19" s="62" t="e">
        <f>AB19/L7</f>
        <v>#DIV/0!</v>
      </c>
      <c r="AF19" s="63"/>
      <c r="AG19" s="44" t="s">
        <v>37</v>
      </c>
      <c r="AH19" s="45"/>
      <c r="AI19" s="37">
        <f t="shared" si="0"/>
        <v>0</v>
      </c>
      <c r="AJ19" s="37"/>
      <c r="AK19" s="44" t="s">
        <v>40</v>
      </c>
      <c r="AL19" s="45"/>
      <c r="AM19" s="75">
        <f t="shared" ref="AM19:AM27" si="1">Z19*T19/100</f>
        <v>0</v>
      </c>
      <c r="AN19" s="76"/>
      <c r="AO19" s="67"/>
      <c r="AP19" s="68"/>
      <c r="AQ19" s="70"/>
      <c r="AR19" s="71"/>
      <c r="AV19" s="10"/>
    </row>
    <row r="20" spans="1:48" ht="16.350000000000001" customHeight="1">
      <c r="A20" s="64"/>
      <c r="B20" s="64"/>
      <c r="C20" s="44" t="s">
        <v>41</v>
      </c>
      <c r="D20" s="65"/>
      <c r="E20" s="65"/>
      <c r="F20" s="65"/>
      <c r="G20" s="65"/>
      <c r="H20" s="65"/>
      <c r="I20" s="65"/>
      <c r="J20" s="65"/>
      <c r="K20" s="65"/>
      <c r="L20" s="45"/>
      <c r="M20" s="11"/>
      <c r="N20" s="44" t="s">
        <v>37</v>
      </c>
      <c r="O20" s="45"/>
      <c r="P20" s="46">
        <v>8</v>
      </c>
      <c r="Q20" s="47"/>
      <c r="R20" s="44" t="s">
        <v>40</v>
      </c>
      <c r="S20" s="45"/>
      <c r="T20" s="46">
        <v>11</v>
      </c>
      <c r="U20" s="47"/>
      <c r="V20" s="67"/>
      <c r="W20" s="68"/>
      <c r="X20" s="70"/>
      <c r="Y20" s="71"/>
      <c r="Z20" s="59"/>
      <c r="AA20" s="60"/>
      <c r="AB20" s="61">
        <f>Z20*L7/100</f>
        <v>0</v>
      </c>
      <c r="AC20" s="61"/>
      <c r="AD20" s="61"/>
      <c r="AE20" s="62" t="e">
        <f>AB20/L7</f>
        <v>#DIV/0!</v>
      </c>
      <c r="AF20" s="63"/>
      <c r="AG20" s="44" t="s">
        <v>37</v>
      </c>
      <c r="AH20" s="45"/>
      <c r="AI20" s="37">
        <f t="shared" si="0"/>
        <v>0</v>
      </c>
      <c r="AJ20" s="37"/>
      <c r="AK20" s="44" t="s">
        <v>40</v>
      </c>
      <c r="AL20" s="45"/>
      <c r="AM20" s="75">
        <f t="shared" si="1"/>
        <v>0</v>
      </c>
      <c r="AN20" s="76"/>
      <c r="AO20" s="67"/>
      <c r="AP20" s="68"/>
      <c r="AQ20" s="70"/>
      <c r="AR20" s="71"/>
      <c r="AV20" s="10"/>
    </row>
    <row r="21" spans="1:48" ht="16.350000000000001" customHeight="1">
      <c r="A21" s="64"/>
      <c r="B21" s="64"/>
      <c r="C21" s="44" t="s">
        <v>42</v>
      </c>
      <c r="D21" s="65"/>
      <c r="E21" s="65"/>
      <c r="F21" s="65"/>
      <c r="G21" s="65"/>
      <c r="H21" s="65"/>
      <c r="I21" s="65"/>
      <c r="J21" s="65"/>
      <c r="K21" s="65"/>
      <c r="L21" s="45"/>
      <c r="M21" s="11"/>
      <c r="N21" s="44" t="s">
        <v>37</v>
      </c>
      <c r="O21" s="45"/>
      <c r="P21" s="46">
        <v>8</v>
      </c>
      <c r="Q21" s="47"/>
      <c r="R21" s="44" t="s">
        <v>40</v>
      </c>
      <c r="S21" s="45"/>
      <c r="T21" s="46">
        <v>12</v>
      </c>
      <c r="U21" s="47"/>
      <c r="V21" s="67"/>
      <c r="W21" s="68"/>
      <c r="X21" s="70"/>
      <c r="Y21" s="71"/>
      <c r="Z21" s="59"/>
      <c r="AA21" s="60"/>
      <c r="AB21" s="61">
        <f>Z21*L7/100</f>
        <v>0</v>
      </c>
      <c r="AC21" s="61"/>
      <c r="AD21" s="61"/>
      <c r="AE21" s="62" t="e">
        <f>AB21/L7</f>
        <v>#DIV/0!</v>
      </c>
      <c r="AF21" s="63"/>
      <c r="AG21" s="44" t="s">
        <v>37</v>
      </c>
      <c r="AH21" s="45"/>
      <c r="AI21" s="37">
        <f t="shared" si="0"/>
        <v>0</v>
      </c>
      <c r="AJ21" s="37"/>
      <c r="AK21" s="44" t="s">
        <v>40</v>
      </c>
      <c r="AL21" s="45"/>
      <c r="AM21" s="46">
        <f t="shared" si="1"/>
        <v>0</v>
      </c>
      <c r="AN21" s="47"/>
      <c r="AO21" s="67"/>
      <c r="AP21" s="68"/>
      <c r="AQ21" s="70"/>
      <c r="AR21" s="71"/>
      <c r="AV21" s="10"/>
    </row>
    <row r="22" spans="1:48" ht="16.350000000000001" customHeight="1">
      <c r="A22" s="64"/>
      <c r="B22" s="64"/>
      <c r="C22" s="44" t="s">
        <v>43</v>
      </c>
      <c r="D22" s="65"/>
      <c r="E22" s="65"/>
      <c r="F22" s="65"/>
      <c r="G22" s="65"/>
      <c r="H22" s="65"/>
      <c r="I22" s="65"/>
      <c r="J22" s="65"/>
      <c r="K22" s="65"/>
      <c r="L22" s="45"/>
      <c r="M22" s="11"/>
      <c r="N22" s="44" t="s">
        <v>37</v>
      </c>
      <c r="O22" s="45"/>
      <c r="P22" s="46">
        <v>7</v>
      </c>
      <c r="Q22" s="47"/>
      <c r="R22" s="44" t="s">
        <v>5</v>
      </c>
      <c r="S22" s="45"/>
      <c r="T22" s="46">
        <v>7</v>
      </c>
      <c r="U22" s="47"/>
      <c r="V22" s="67"/>
      <c r="W22" s="68"/>
      <c r="X22" s="70"/>
      <c r="Y22" s="71"/>
      <c r="Z22" s="59"/>
      <c r="AA22" s="60"/>
      <c r="AB22" s="61">
        <f>Z22*L7/100</f>
        <v>0</v>
      </c>
      <c r="AC22" s="61"/>
      <c r="AD22" s="61"/>
      <c r="AE22" s="62" t="e">
        <f>AB22/L7</f>
        <v>#DIV/0!</v>
      </c>
      <c r="AF22" s="63"/>
      <c r="AG22" s="44" t="s">
        <v>37</v>
      </c>
      <c r="AH22" s="45"/>
      <c r="AI22" s="37">
        <f t="shared" si="0"/>
        <v>0</v>
      </c>
      <c r="AJ22" s="37"/>
      <c r="AK22" s="44" t="s">
        <v>5</v>
      </c>
      <c r="AL22" s="45"/>
      <c r="AM22" s="35">
        <f t="shared" si="1"/>
        <v>0</v>
      </c>
      <c r="AN22" s="36"/>
      <c r="AO22" s="67"/>
      <c r="AP22" s="68"/>
      <c r="AQ22" s="70"/>
      <c r="AR22" s="71"/>
      <c r="AV22" s="10"/>
    </row>
    <row r="23" spans="1:48" ht="16.350000000000001" customHeight="1">
      <c r="A23" s="64"/>
      <c r="B23" s="64"/>
      <c r="C23" s="44" t="s">
        <v>44</v>
      </c>
      <c r="D23" s="65"/>
      <c r="E23" s="65"/>
      <c r="F23" s="65"/>
      <c r="G23" s="65"/>
      <c r="H23" s="65"/>
      <c r="I23" s="65"/>
      <c r="J23" s="65"/>
      <c r="K23" s="65"/>
      <c r="L23" s="45"/>
      <c r="M23" s="11"/>
      <c r="N23" s="44" t="s">
        <v>37</v>
      </c>
      <c r="O23" s="45"/>
      <c r="P23" s="46">
        <v>6</v>
      </c>
      <c r="Q23" s="47"/>
      <c r="R23" s="44" t="s">
        <v>5</v>
      </c>
      <c r="S23" s="45"/>
      <c r="T23" s="46">
        <v>5</v>
      </c>
      <c r="U23" s="47"/>
      <c r="V23" s="67"/>
      <c r="W23" s="68"/>
      <c r="X23" s="70"/>
      <c r="Y23" s="71"/>
      <c r="Z23" s="59"/>
      <c r="AA23" s="60"/>
      <c r="AB23" s="61">
        <f>Z23*L7/100</f>
        <v>0</v>
      </c>
      <c r="AC23" s="61"/>
      <c r="AD23" s="61"/>
      <c r="AE23" s="62" t="e">
        <f>AB23/L7</f>
        <v>#DIV/0!</v>
      </c>
      <c r="AF23" s="63"/>
      <c r="AG23" s="44" t="s">
        <v>37</v>
      </c>
      <c r="AH23" s="45"/>
      <c r="AI23" s="37">
        <f t="shared" si="0"/>
        <v>0</v>
      </c>
      <c r="AJ23" s="37"/>
      <c r="AK23" s="44" t="s">
        <v>5</v>
      </c>
      <c r="AL23" s="45"/>
      <c r="AM23" s="35">
        <f t="shared" si="1"/>
        <v>0</v>
      </c>
      <c r="AN23" s="36"/>
      <c r="AO23" s="67"/>
      <c r="AP23" s="68"/>
      <c r="AQ23" s="70"/>
      <c r="AR23" s="71"/>
      <c r="AV23" s="10"/>
    </row>
    <row r="24" spans="1:48" ht="16.350000000000001" customHeight="1">
      <c r="A24" s="64"/>
      <c r="B24" s="64"/>
      <c r="C24" s="44" t="s">
        <v>45</v>
      </c>
      <c r="D24" s="65"/>
      <c r="E24" s="65"/>
      <c r="F24" s="65"/>
      <c r="G24" s="65"/>
      <c r="H24" s="65"/>
      <c r="I24" s="65"/>
      <c r="J24" s="65"/>
      <c r="K24" s="65"/>
      <c r="L24" s="45"/>
      <c r="M24" s="11"/>
      <c r="N24" s="44" t="s">
        <v>37</v>
      </c>
      <c r="O24" s="45"/>
      <c r="P24" s="46">
        <v>6</v>
      </c>
      <c r="Q24" s="47"/>
      <c r="R24" s="44" t="s">
        <v>1</v>
      </c>
      <c r="S24" s="45"/>
      <c r="T24" s="46">
        <v>12</v>
      </c>
      <c r="U24" s="47"/>
      <c r="V24" s="57"/>
      <c r="W24" s="58"/>
      <c r="X24" s="48"/>
      <c r="Y24" s="49"/>
      <c r="Z24" s="59"/>
      <c r="AA24" s="60"/>
      <c r="AB24" s="61">
        <f>Z24*L7/100</f>
        <v>0</v>
      </c>
      <c r="AC24" s="61"/>
      <c r="AD24" s="61"/>
      <c r="AE24" s="62" t="e">
        <f>AB24/L7</f>
        <v>#DIV/0!</v>
      </c>
      <c r="AF24" s="63"/>
      <c r="AG24" s="44" t="s">
        <v>37</v>
      </c>
      <c r="AH24" s="45"/>
      <c r="AI24" s="37">
        <f t="shared" si="0"/>
        <v>0</v>
      </c>
      <c r="AJ24" s="37"/>
      <c r="AK24" s="44" t="s">
        <v>1</v>
      </c>
      <c r="AL24" s="45"/>
      <c r="AM24" s="75">
        <f t="shared" si="1"/>
        <v>0</v>
      </c>
      <c r="AN24" s="76"/>
      <c r="AO24" s="57"/>
      <c r="AP24" s="58"/>
      <c r="AQ24" s="48"/>
      <c r="AR24" s="49"/>
      <c r="AV24" s="10"/>
    </row>
    <row r="25" spans="1:48" ht="16.350000000000001" customHeight="1">
      <c r="A25" s="64"/>
      <c r="B25" s="64"/>
      <c r="C25" s="44" t="s">
        <v>46</v>
      </c>
      <c r="D25" s="65"/>
      <c r="E25" s="65"/>
      <c r="F25" s="65"/>
      <c r="G25" s="65"/>
      <c r="H25" s="65"/>
      <c r="I25" s="65"/>
      <c r="J25" s="65"/>
      <c r="K25" s="65"/>
      <c r="L25" s="45"/>
      <c r="M25" s="11"/>
      <c r="N25" s="44" t="s">
        <v>37</v>
      </c>
      <c r="O25" s="45"/>
      <c r="P25" s="46">
        <v>5</v>
      </c>
      <c r="Q25" s="47"/>
      <c r="R25" s="44" t="s">
        <v>1</v>
      </c>
      <c r="S25" s="45"/>
      <c r="T25" s="46">
        <v>12</v>
      </c>
      <c r="U25" s="47"/>
      <c r="V25" s="57"/>
      <c r="W25" s="58"/>
      <c r="X25" s="48"/>
      <c r="Y25" s="49"/>
      <c r="Z25" s="59"/>
      <c r="AA25" s="60"/>
      <c r="AB25" s="61">
        <f>Z25*L7/100</f>
        <v>0</v>
      </c>
      <c r="AC25" s="61"/>
      <c r="AD25" s="61"/>
      <c r="AE25" s="62" t="e">
        <f>AB25/L7</f>
        <v>#DIV/0!</v>
      </c>
      <c r="AF25" s="63"/>
      <c r="AG25" s="44" t="s">
        <v>37</v>
      </c>
      <c r="AH25" s="45"/>
      <c r="AI25" s="37">
        <f t="shared" si="0"/>
        <v>0</v>
      </c>
      <c r="AJ25" s="37"/>
      <c r="AK25" s="44" t="s">
        <v>1</v>
      </c>
      <c r="AL25" s="45"/>
      <c r="AM25" s="35">
        <f t="shared" si="1"/>
        <v>0</v>
      </c>
      <c r="AN25" s="36"/>
      <c r="AO25" s="57"/>
      <c r="AP25" s="58"/>
      <c r="AQ25" s="48"/>
      <c r="AR25" s="49"/>
      <c r="AV25" s="10"/>
    </row>
    <row r="26" spans="1:48" ht="16.350000000000001" customHeight="1">
      <c r="A26" s="64"/>
      <c r="B26" s="64"/>
      <c r="C26" s="44" t="s">
        <v>47</v>
      </c>
      <c r="D26" s="65"/>
      <c r="E26" s="65"/>
      <c r="F26" s="65"/>
      <c r="G26" s="65"/>
      <c r="H26" s="65"/>
      <c r="I26" s="65"/>
      <c r="J26" s="65"/>
      <c r="K26" s="65"/>
      <c r="L26" s="45"/>
      <c r="M26" s="11"/>
      <c r="N26" s="44" t="s">
        <v>37</v>
      </c>
      <c r="O26" s="45"/>
      <c r="P26" s="46">
        <v>7</v>
      </c>
      <c r="Q26" s="47"/>
      <c r="R26" s="44" t="s">
        <v>2</v>
      </c>
      <c r="S26" s="45"/>
      <c r="T26" s="46">
        <v>15</v>
      </c>
      <c r="U26" s="47"/>
      <c r="V26" s="57"/>
      <c r="W26" s="58"/>
      <c r="X26" s="48"/>
      <c r="Y26" s="49"/>
      <c r="Z26" s="59"/>
      <c r="AA26" s="60"/>
      <c r="AB26" s="61">
        <f>Z26*L7/100</f>
        <v>0</v>
      </c>
      <c r="AC26" s="61"/>
      <c r="AD26" s="61"/>
      <c r="AE26" s="62" t="e">
        <f>AB26/L7</f>
        <v>#DIV/0!</v>
      </c>
      <c r="AF26" s="63"/>
      <c r="AG26" s="44" t="s">
        <v>37</v>
      </c>
      <c r="AH26" s="45"/>
      <c r="AI26" s="37">
        <f t="shared" si="0"/>
        <v>0</v>
      </c>
      <c r="AJ26" s="37"/>
      <c r="AK26" s="44" t="s">
        <v>2</v>
      </c>
      <c r="AL26" s="45"/>
      <c r="AM26" s="35">
        <f t="shared" si="1"/>
        <v>0</v>
      </c>
      <c r="AN26" s="36"/>
      <c r="AO26" s="57"/>
      <c r="AP26" s="58"/>
      <c r="AQ26" s="48"/>
      <c r="AR26" s="49"/>
      <c r="AV26" s="10"/>
    </row>
    <row r="27" spans="1:48" ht="16.350000000000001" customHeight="1">
      <c r="A27" s="64"/>
      <c r="B27" s="64"/>
      <c r="C27" s="44" t="s">
        <v>48</v>
      </c>
      <c r="D27" s="65"/>
      <c r="E27" s="65"/>
      <c r="F27" s="65"/>
      <c r="G27" s="65"/>
      <c r="H27" s="65"/>
      <c r="I27" s="65"/>
      <c r="J27" s="65"/>
      <c r="K27" s="65"/>
      <c r="L27" s="45"/>
      <c r="M27" s="11"/>
      <c r="N27" s="44" t="s">
        <v>37</v>
      </c>
      <c r="O27" s="45"/>
      <c r="P27" s="46">
        <v>6</v>
      </c>
      <c r="Q27" s="47"/>
      <c r="R27" s="44" t="s">
        <v>2</v>
      </c>
      <c r="S27" s="45"/>
      <c r="T27" s="46">
        <v>15</v>
      </c>
      <c r="U27" s="47"/>
      <c r="V27" s="57"/>
      <c r="W27" s="58"/>
      <c r="X27" s="48"/>
      <c r="Y27" s="49"/>
      <c r="Z27" s="59"/>
      <c r="AA27" s="60"/>
      <c r="AB27" s="61">
        <f>Z27*L7/100</f>
        <v>0</v>
      </c>
      <c r="AC27" s="61"/>
      <c r="AD27" s="61"/>
      <c r="AE27" s="62" t="e">
        <f>AB27/L7</f>
        <v>#DIV/0!</v>
      </c>
      <c r="AF27" s="63"/>
      <c r="AG27" s="44" t="s">
        <v>37</v>
      </c>
      <c r="AH27" s="45"/>
      <c r="AI27" s="37">
        <f t="shared" si="0"/>
        <v>0</v>
      </c>
      <c r="AJ27" s="37"/>
      <c r="AK27" s="44" t="s">
        <v>2</v>
      </c>
      <c r="AL27" s="45"/>
      <c r="AM27" s="46">
        <f t="shared" si="1"/>
        <v>0</v>
      </c>
      <c r="AN27" s="47"/>
      <c r="AO27" s="57"/>
      <c r="AP27" s="58"/>
      <c r="AQ27" s="48"/>
      <c r="AR27" s="49"/>
      <c r="AV27" s="10"/>
    </row>
    <row r="28" spans="1:48" ht="16.350000000000001" customHeight="1">
      <c r="A28" s="64"/>
      <c r="B28" s="64"/>
      <c r="C28" s="44" t="s">
        <v>49</v>
      </c>
      <c r="D28" s="65"/>
      <c r="E28" s="65"/>
      <c r="F28" s="65"/>
      <c r="G28" s="65"/>
      <c r="H28" s="65"/>
      <c r="I28" s="65"/>
      <c r="J28" s="65"/>
      <c r="K28" s="65"/>
      <c r="L28" s="45"/>
      <c r="M28" s="11"/>
      <c r="N28" s="44" t="s">
        <v>40</v>
      </c>
      <c r="O28" s="45"/>
      <c r="P28" s="46">
        <v>32</v>
      </c>
      <c r="Q28" s="47"/>
      <c r="R28" s="57"/>
      <c r="S28" s="58"/>
      <c r="T28" s="48"/>
      <c r="U28" s="49"/>
      <c r="V28" s="57"/>
      <c r="W28" s="58"/>
      <c r="X28" s="48"/>
      <c r="Y28" s="49"/>
      <c r="Z28" s="59"/>
      <c r="AA28" s="60"/>
      <c r="AB28" s="61">
        <f>Z28*L7/100</f>
        <v>0</v>
      </c>
      <c r="AC28" s="61"/>
      <c r="AD28" s="61"/>
      <c r="AE28" s="62" t="e">
        <f>AB28/L7</f>
        <v>#DIV/0!</v>
      </c>
      <c r="AF28" s="63"/>
      <c r="AG28" s="44" t="s">
        <v>40</v>
      </c>
      <c r="AH28" s="45"/>
      <c r="AI28" s="37">
        <f t="shared" si="0"/>
        <v>0</v>
      </c>
      <c r="AJ28" s="37"/>
      <c r="AK28" s="57"/>
      <c r="AL28" s="58"/>
      <c r="AM28" s="70"/>
      <c r="AN28" s="71"/>
      <c r="AO28" s="57"/>
      <c r="AP28" s="58"/>
      <c r="AQ28" s="48"/>
      <c r="AR28" s="49"/>
      <c r="AV28" s="10"/>
    </row>
    <row r="29" spans="1:48" ht="16.350000000000001" customHeight="1">
      <c r="A29" s="64"/>
      <c r="B29" s="64"/>
      <c r="C29" s="44" t="s">
        <v>50</v>
      </c>
      <c r="D29" s="65"/>
      <c r="E29" s="65"/>
      <c r="F29" s="65"/>
      <c r="G29" s="65"/>
      <c r="H29" s="65"/>
      <c r="I29" s="65"/>
      <c r="J29" s="65"/>
      <c r="K29" s="65"/>
      <c r="L29" s="45"/>
      <c r="M29" s="11"/>
      <c r="N29" s="44" t="s">
        <v>51</v>
      </c>
      <c r="O29" s="45"/>
      <c r="P29" s="46">
        <v>66.8</v>
      </c>
      <c r="Q29" s="47"/>
      <c r="R29" s="67"/>
      <c r="S29" s="68"/>
      <c r="T29" s="70"/>
      <c r="U29" s="71"/>
      <c r="V29" s="57"/>
      <c r="W29" s="58"/>
      <c r="X29" s="48"/>
      <c r="Y29" s="49"/>
      <c r="Z29" s="59"/>
      <c r="AA29" s="60"/>
      <c r="AB29" s="61">
        <f>Z29*L7/100</f>
        <v>0</v>
      </c>
      <c r="AC29" s="61"/>
      <c r="AD29" s="61"/>
      <c r="AE29" s="62" t="e">
        <f>AB29/L7</f>
        <v>#DIV/0!</v>
      </c>
      <c r="AF29" s="63"/>
      <c r="AG29" s="44" t="s">
        <v>51</v>
      </c>
      <c r="AH29" s="45"/>
      <c r="AI29" s="37">
        <f t="shared" si="0"/>
        <v>0</v>
      </c>
      <c r="AJ29" s="37"/>
      <c r="AK29" s="67"/>
      <c r="AL29" s="68"/>
      <c r="AM29" s="70"/>
      <c r="AN29" s="71"/>
      <c r="AO29" s="57"/>
      <c r="AP29" s="58"/>
      <c r="AQ29" s="48"/>
      <c r="AR29" s="49"/>
      <c r="AV29" s="10"/>
    </row>
    <row r="30" spans="1:48" ht="16.350000000000001" customHeight="1">
      <c r="A30" s="64"/>
      <c r="B30" s="64"/>
      <c r="C30" s="44" t="s">
        <v>52</v>
      </c>
      <c r="D30" s="65"/>
      <c r="E30" s="65"/>
      <c r="F30" s="65"/>
      <c r="G30" s="65"/>
      <c r="H30" s="65"/>
      <c r="I30" s="65"/>
      <c r="J30" s="65"/>
      <c r="K30" s="65"/>
      <c r="L30" s="45"/>
      <c r="M30" s="11"/>
      <c r="N30" s="44" t="s">
        <v>53</v>
      </c>
      <c r="O30" s="45"/>
      <c r="P30" s="46">
        <v>46</v>
      </c>
      <c r="Q30" s="47"/>
      <c r="R30" s="44" t="s">
        <v>40</v>
      </c>
      <c r="S30" s="45"/>
      <c r="T30" s="46">
        <v>27</v>
      </c>
      <c r="U30" s="47"/>
      <c r="V30" s="57"/>
      <c r="W30" s="58"/>
      <c r="X30" s="48"/>
      <c r="Y30" s="49"/>
      <c r="Z30" s="59"/>
      <c r="AA30" s="60"/>
      <c r="AB30" s="61">
        <f>Z30*L7/100</f>
        <v>0</v>
      </c>
      <c r="AC30" s="61"/>
      <c r="AD30" s="61"/>
      <c r="AE30" s="62" t="e">
        <f>AB30/L7</f>
        <v>#DIV/0!</v>
      </c>
      <c r="AF30" s="63"/>
      <c r="AG30" s="44" t="s">
        <v>53</v>
      </c>
      <c r="AH30" s="45"/>
      <c r="AI30" s="37">
        <f t="shared" si="0"/>
        <v>0</v>
      </c>
      <c r="AJ30" s="37"/>
      <c r="AK30" s="44" t="s">
        <v>40</v>
      </c>
      <c r="AL30" s="45"/>
      <c r="AM30" s="35">
        <f>Z30*T30/100</f>
        <v>0</v>
      </c>
      <c r="AN30" s="36"/>
      <c r="AO30" s="57"/>
      <c r="AP30" s="58"/>
      <c r="AQ30" s="48"/>
      <c r="AR30" s="49"/>
      <c r="AV30" s="10"/>
    </row>
    <row r="31" spans="1:48" ht="16.350000000000001" customHeight="1">
      <c r="A31" s="64"/>
      <c r="B31" s="64"/>
      <c r="C31" s="44" t="s">
        <v>54</v>
      </c>
      <c r="D31" s="65"/>
      <c r="E31" s="65"/>
      <c r="F31" s="65"/>
      <c r="G31" s="65"/>
      <c r="H31" s="65"/>
      <c r="I31" s="65"/>
      <c r="J31" s="65"/>
      <c r="K31" s="65"/>
      <c r="L31" s="45"/>
      <c r="M31" s="11"/>
      <c r="N31" s="44" t="s">
        <v>53</v>
      </c>
      <c r="O31" s="45"/>
      <c r="P31" s="46">
        <v>23.85</v>
      </c>
      <c r="Q31" s="47"/>
      <c r="R31" s="44" t="s">
        <v>40</v>
      </c>
      <c r="S31" s="45"/>
      <c r="T31" s="46">
        <v>14</v>
      </c>
      <c r="U31" s="47"/>
      <c r="V31" s="57"/>
      <c r="W31" s="58"/>
      <c r="X31" s="48"/>
      <c r="Y31" s="49"/>
      <c r="Z31" s="59"/>
      <c r="AA31" s="60"/>
      <c r="AB31" s="61">
        <f>Z31*L7/100</f>
        <v>0</v>
      </c>
      <c r="AC31" s="61"/>
      <c r="AD31" s="61"/>
      <c r="AE31" s="62" t="e">
        <f>AB31/L7</f>
        <v>#DIV/0!</v>
      </c>
      <c r="AF31" s="63"/>
      <c r="AG31" s="44" t="s">
        <v>53</v>
      </c>
      <c r="AH31" s="45"/>
      <c r="AI31" s="37">
        <f t="shared" si="0"/>
        <v>0</v>
      </c>
      <c r="AJ31" s="37"/>
      <c r="AK31" s="44" t="s">
        <v>40</v>
      </c>
      <c r="AL31" s="45"/>
      <c r="AM31" s="35">
        <f>Z31*T31/100</f>
        <v>0</v>
      </c>
      <c r="AN31" s="36"/>
      <c r="AO31" s="57"/>
      <c r="AP31" s="58"/>
      <c r="AQ31" s="48"/>
      <c r="AR31" s="49"/>
      <c r="AV31" s="10"/>
    </row>
    <row r="32" spans="1:48" ht="16.350000000000001" customHeight="1">
      <c r="A32" s="64"/>
      <c r="B32" s="64"/>
      <c r="C32" s="44" t="s">
        <v>55</v>
      </c>
      <c r="D32" s="65"/>
      <c r="E32" s="65"/>
      <c r="F32" s="65"/>
      <c r="G32" s="65"/>
      <c r="H32" s="65"/>
      <c r="I32" s="65"/>
      <c r="J32" s="65"/>
      <c r="K32" s="65"/>
      <c r="L32" s="45"/>
      <c r="M32" s="11"/>
      <c r="N32" s="44" t="s">
        <v>53</v>
      </c>
      <c r="O32" s="45"/>
      <c r="P32" s="46">
        <v>15</v>
      </c>
      <c r="Q32" s="47"/>
      <c r="R32" s="44" t="s">
        <v>3</v>
      </c>
      <c r="S32" s="45"/>
      <c r="T32" s="46">
        <v>14</v>
      </c>
      <c r="U32" s="47"/>
      <c r="V32" s="57"/>
      <c r="W32" s="58"/>
      <c r="X32" s="48"/>
      <c r="Y32" s="49"/>
      <c r="Z32" s="59"/>
      <c r="AA32" s="60"/>
      <c r="AB32" s="61">
        <f>Z32*L7/100</f>
        <v>0</v>
      </c>
      <c r="AC32" s="61"/>
      <c r="AD32" s="61"/>
      <c r="AE32" s="62" t="e">
        <f>AB32/L7</f>
        <v>#DIV/0!</v>
      </c>
      <c r="AF32" s="63"/>
      <c r="AG32" s="44" t="s">
        <v>53</v>
      </c>
      <c r="AH32" s="45"/>
      <c r="AI32" s="37">
        <f t="shared" si="0"/>
        <v>0</v>
      </c>
      <c r="AJ32" s="37"/>
      <c r="AK32" s="44" t="s">
        <v>3</v>
      </c>
      <c r="AL32" s="45"/>
      <c r="AM32" s="75">
        <f>Z32*T32/100</f>
        <v>0</v>
      </c>
      <c r="AN32" s="76"/>
      <c r="AO32" s="57"/>
      <c r="AP32" s="58"/>
      <c r="AQ32" s="48"/>
      <c r="AR32" s="49"/>
      <c r="AV32" s="10"/>
    </row>
    <row r="33" spans="1:48" ht="16.350000000000001" customHeight="1">
      <c r="A33" s="64"/>
      <c r="B33" s="64"/>
      <c r="C33" s="44" t="s">
        <v>56</v>
      </c>
      <c r="D33" s="65"/>
      <c r="E33" s="65"/>
      <c r="F33" s="65"/>
      <c r="G33" s="65"/>
      <c r="H33" s="65"/>
      <c r="I33" s="65"/>
      <c r="J33" s="65"/>
      <c r="K33" s="65"/>
      <c r="L33" s="45"/>
      <c r="M33" s="11"/>
      <c r="N33" s="44" t="s">
        <v>53</v>
      </c>
      <c r="O33" s="45"/>
      <c r="P33" s="46">
        <v>18</v>
      </c>
      <c r="Q33" s="47"/>
      <c r="R33" s="44" t="s">
        <v>1</v>
      </c>
      <c r="S33" s="45"/>
      <c r="T33" s="46">
        <v>14</v>
      </c>
      <c r="U33" s="47"/>
      <c r="V33" s="57"/>
      <c r="W33" s="58"/>
      <c r="X33" s="48"/>
      <c r="Y33" s="49"/>
      <c r="Z33" s="59"/>
      <c r="AA33" s="60"/>
      <c r="AB33" s="61">
        <f>Z33*L7/100</f>
        <v>0</v>
      </c>
      <c r="AC33" s="61"/>
      <c r="AD33" s="61"/>
      <c r="AE33" s="62" t="e">
        <f>AB33/L7</f>
        <v>#DIV/0!</v>
      </c>
      <c r="AF33" s="63"/>
      <c r="AG33" s="44" t="s">
        <v>53</v>
      </c>
      <c r="AH33" s="45"/>
      <c r="AI33" s="37">
        <f t="shared" si="0"/>
        <v>0</v>
      </c>
      <c r="AJ33" s="37"/>
      <c r="AK33" s="44" t="s">
        <v>1</v>
      </c>
      <c r="AL33" s="45"/>
      <c r="AM33" s="75">
        <f>Z33*T33/100</f>
        <v>0</v>
      </c>
      <c r="AN33" s="76"/>
      <c r="AO33" s="57"/>
      <c r="AP33" s="58"/>
      <c r="AQ33" s="48"/>
      <c r="AR33" s="49"/>
      <c r="AV33" s="10"/>
    </row>
    <row r="34" spans="1:48" ht="16.350000000000001" customHeight="1">
      <c r="A34" s="64"/>
      <c r="B34" s="64"/>
      <c r="C34" s="44" t="s">
        <v>57</v>
      </c>
      <c r="D34" s="65"/>
      <c r="E34" s="65"/>
      <c r="F34" s="65"/>
      <c r="G34" s="65"/>
      <c r="H34" s="65"/>
      <c r="I34" s="65"/>
      <c r="J34" s="65"/>
      <c r="K34" s="65"/>
      <c r="L34" s="45"/>
      <c r="M34" s="11"/>
      <c r="N34" s="44" t="s">
        <v>51</v>
      </c>
      <c r="O34" s="45"/>
      <c r="P34" s="46">
        <v>60</v>
      </c>
      <c r="Q34" s="47"/>
      <c r="R34" s="67"/>
      <c r="S34" s="68"/>
      <c r="T34" s="70"/>
      <c r="U34" s="71"/>
      <c r="V34" s="57"/>
      <c r="W34" s="58"/>
      <c r="X34" s="48"/>
      <c r="Y34" s="49"/>
      <c r="Z34" s="59"/>
      <c r="AA34" s="60"/>
      <c r="AB34" s="61">
        <f>Z34*L7/100</f>
        <v>0</v>
      </c>
      <c r="AC34" s="61"/>
      <c r="AD34" s="61"/>
      <c r="AE34" s="62" t="e">
        <f>AB34/L7</f>
        <v>#DIV/0!</v>
      </c>
      <c r="AF34" s="63"/>
      <c r="AG34" s="44" t="s">
        <v>51</v>
      </c>
      <c r="AH34" s="45"/>
      <c r="AI34" s="37">
        <f t="shared" si="0"/>
        <v>0</v>
      </c>
      <c r="AJ34" s="37"/>
      <c r="AK34" s="67"/>
      <c r="AL34" s="68"/>
      <c r="AM34" s="70"/>
      <c r="AN34" s="71"/>
      <c r="AO34" s="57"/>
      <c r="AP34" s="58"/>
      <c r="AQ34" s="48"/>
      <c r="AR34" s="49"/>
      <c r="AV34" s="10"/>
    </row>
    <row r="35" spans="1:48" ht="16.350000000000001" customHeight="1">
      <c r="A35" s="44"/>
      <c r="B35" s="45"/>
      <c r="C35" s="44" t="s">
        <v>58</v>
      </c>
      <c r="D35" s="65"/>
      <c r="E35" s="65"/>
      <c r="F35" s="65"/>
      <c r="G35" s="65"/>
      <c r="H35" s="65"/>
      <c r="I35" s="65"/>
      <c r="J35" s="65"/>
      <c r="K35" s="65"/>
      <c r="L35" s="45"/>
      <c r="M35" s="11"/>
      <c r="N35" s="44" t="s">
        <v>51</v>
      </c>
      <c r="O35" s="45"/>
      <c r="P35" s="46">
        <v>15.5</v>
      </c>
      <c r="Q35" s="47"/>
      <c r="R35" s="67"/>
      <c r="S35" s="68"/>
      <c r="T35" s="70"/>
      <c r="U35" s="71"/>
      <c r="V35" s="57"/>
      <c r="W35" s="58"/>
      <c r="X35" s="48"/>
      <c r="Y35" s="49"/>
      <c r="Z35" s="59"/>
      <c r="AA35" s="60"/>
      <c r="AB35" s="61">
        <f>Z35*L7/100</f>
        <v>0</v>
      </c>
      <c r="AC35" s="61"/>
      <c r="AD35" s="61"/>
      <c r="AE35" s="62" t="e">
        <f>AB35/L7</f>
        <v>#DIV/0!</v>
      </c>
      <c r="AF35" s="63"/>
      <c r="AG35" s="44" t="s">
        <v>51</v>
      </c>
      <c r="AH35" s="45"/>
      <c r="AI35" s="37">
        <f t="shared" si="0"/>
        <v>0</v>
      </c>
      <c r="AJ35" s="37"/>
      <c r="AK35" s="44"/>
      <c r="AL35" s="45"/>
      <c r="AM35" s="46">
        <f>Z35*T35/100</f>
        <v>0</v>
      </c>
      <c r="AN35" s="47"/>
      <c r="AO35" s="15"/>
      <c r="AP35" s="16"/>
      <c r="AQ35" s="17"/>
      <c r="AR35" s="18"/>
      <c r="AV35" s="10"/>
    </row>
    <row r="36" spans="1:48" ht="16.350000000000001" customHeight="1">
      <c r="A36" s="64"/>
      <c r="B36" s="64"/>
      <c r="C36" s="44" t="s">
        <v>59</v>
      </c>
      <c r="D36" s="65"/>
      <c r="E36" s="65"/>
      <c r="F36" s="65"/>
      <c r="G36" s="65"/>
      <c r="H36" s="65"/>
      <c r="I36" s="65"/>
      <c r="J36" s="65"/>
      <c r="K36" s="65"/>
      <c r="L36" s="45"/>
      <c r="M36" s="11"/>
      <c r="N36" s="44" t="s">
        <v>60</v>
      </c>
      <c r="O36" s="45"/>
      <c r="P36" s="46">
        <v>22.8</v>
      </c>
      <c r="Q36" s="47"/>
      <c r="R36" s="44" t="s">
        <v>2</v>
      </c>
      <c r="S36" s="45"/>
      <c r="T36" s="46">
        <v>21</v>
      </c>
      <c r="U36" s="47"/>
      <c r="V36" s="57"/>
      <c r="W36" s="58"/>
      <c r="X36" s="48"/>
      <c r="Y36" s="49"/>
      <c r="Z36" s="59"/>
      <c r="AA36" s="60"/>
      <c r="AB36" s="61">
        <f>Z36*L7/100</f>
        <v>0</v>
      </c>
      <c r="AC36" s="61"/>
      <c r="AD36" s="61"/>
      <c r="AE36" s="62" t="e">
        <f>AB36/L7</f>
        <v>#DIV/0!</v>
      </c>
      <c r="AF36" s="63"/>
      <c r="AG36" s="44" t="s">
        <v>60</v>
      </c>
      <c r="AH36" s="45"/>
      <c r="AI36" s="37">
        <f t="shared" si="0"/>
        <v>0</v>
      </c>
      <c r="AJ36" s="37"/>
      <c r="AK36" s="44" t="s">
        <v>2</v>
      </c>
      <c r="AL36" s="45"/>
      <c r="AM36" s="75">
        <f>Z36*T36/100</f>
        <v>0</v>
      </c>
      <c r="AN36" s="76"/>
      <c r="AO36" s="57"/>
      <c r="AP36" s="58"/>
      <c r="AQ36" s="48"/>
      <c r="AR36" s="49"/>
      <c r="AV36" s="10"/>
    </row>
    <row r="37" spans="1:48" ht="16.350000000000001" customHeight="1">
      <c r="A37" s="64"/>
      <c r="B37" s="64"/>
      <c r="C37" s="44" t="s">
        <v>61</v>
      </c>
      <c r="D37" s="65"/>
      <c r="E37" s="65"/>
      <c r="F37" s="65"/>
      <c r="G37" s="65"/>
      <c r="H37" s="65"/>
      <c r="I37" s="65"/>
      <c r="J37" s="65"/>
      <c r="K37" s="65"/>
      <c r="L37" s="45"/>
      <c r="M37" s="11"/>
      <c r="N37" s="44" t="s">
        <v>60</v>
      </c>
      <c r="O37" s="45"/>
      <c r="P37" s="46">
        <v>50</v>
      </c>
      <c r="Q37" s="47"/>
      <c r="R37" s="44" t="s">
        <v>2</v>
      </c>
      <c r="S37" s="45"/>
      <c r="T37" s="46">
        <v>47</v>
      </c>
      <c r="U37" s="47"/>
      <c r="V37" s="57"/>
      <c r="W37" s="58"/>
      <c r="X37" s="48"/>
      <c r="Y37" s="49"/>
      <c r="Z37" s="59"/>
      <c r="AA37" s="60"/>
      <c r="AB37" s="61">
        <f>Z37*L7/100</f>
        <v>0</v>
      </c>
      <c r="AC37" s="61"/>
      <c r="AD37" s="61"/>
      <c r="AE37" s="62" t="e">
        <f>AB37/L7</f>
        <v>#DIV/0!</v>
      </c>
      <c r="AF37" s="63"/>
      <c r="AG37" s="44" t="s">
        <v>60</v>
      </c>
      <c r="AH37" s="45"/>
      <c r="AI37" s="37">
        <f t="shared" si="0"/>
        <v>0</v>
      </c>
      <c r="AJ37" s="37"/>
      <c r="AK37" s="44" t="s">
        <v>2</v>
      </c>
      <c r="AL37" s="45"/>
      <c r="AM37" s="75">
        <f>Z37*T37/100</f>
        <v>0</v>
      </c>
      <c r="AN37" s="76"/>
      <c r="AO37" s="57"/>
      <c r="AP37" s="58"/>
      <c r="AQ37" s="48"/>
      <c r="AR37" s="49"/>
      <c r="AV37" s="10"/>
    </row>
    <row r="38" spans="1:48" ht="16.350000000000001" customHeight="1">
      <c r="A38" s="64"/>
      <c r="B38" s="64"/>
      <c r="C38" s="44" t="s">
        <v>62</v>
      </c>
      <c r="D38" s="65"/>
      <c r="E38" s="65"/>
      <c r="F38" s="65"/>
      <c r="G38" s="65"/>
      <c r="H38" s="65"/>
      <c r="I38" s="65"/>
      <c r="J38" s="65"/>
      <c r="K38" s="65"/>
      <c r="L38" s="45"/>
      <c r="M38" s="11"/>
      <c r="N38" s="44" t="s">
        <v>53</v>
      </c>
      <c r="O38" s="45"/>
      <c r="P38" s="46">
        <v>24.9</v>
      </c>
      <c r="Q38" s="47"/>
      <c r="R38" s="44" t="s">
        <v>63</v>
      </c>
      <c r="S38" s="45"/>
      <c r="T38" s="46">
        <v>13</v>
      </c>
      <c r="U38" s="47"/>
      <c r="V38" s="57"/>
      <c r="W38" s="58"/>
      <c r="X38" s="48"/>
      <c r="Y38" s="49"/>
      <c r="Z38" s="59"/>
      <c r="AA38" s="60"/>
      <c r="AB38" s="61">
        <f>Z38*L7/100</f>
        <v>0</v>
      </c>
      <c r="AC38" s="61"/>
      <c r="AD38" s="61"/>
      <c r="AE38" s="62" t="e">
        <f>AB38/L7</f>
        <v>#DIV/0!</v>
      </c>
      <c r="AF38" s="63"/>
      <c r="AG38" s="44" t="s">
        <v>53</v>
      </c>
      <c r="AH38" s="45"/>
      <c r="AI38" s="37">
        <f t="shared" si="0"/>
        <v>0</v>
      </c>
      <c r="AJ38" s="37"/>
      <c r="AK38" s="44" t="s">
        <v>63</v>
      </c>
      <c r="AL38" s="45"/>
      <c r="AM38" s="75">
        <f>Z38*T38/100</f>
        <v>0</v>
      </c>
      <c r="AN38" s="76"/>
      <c r="AO38" s="57"/>
      <c r="AP38" s="58"/>
      <c r="AQ38" s="48"/>
      <c r="AR38" s="49"/>
      <c r="AV38" s="10"/>
    </row>
    <row r="39" spans="1:48" ht="16.350000000000001" customHeight="1">
      <c r="A39" s="64"/>
      <c r="B39" s="64"/>
      <c r="C39" s="44" t="s">
        <v>64</v>
      </c>
      <c r="D39" s="65"/>
      <c r="E39" s="65"/>
      <c r="F39" s="65"/>
      <c r="G39" s="65"/>
      <c r="H39" s="65"/>
      <c r="I39" s="65"/>
      <c r="J39" s="65"/>
      <c r="K39" s="65"/>
      <c r="L39" s="45"/>
      <c r="M39" s="11"/>
      <c r="N39" s="57"/>
      <c r="O39" s="58"/>
      <c r="P39" s="48"/>
      <c r="Q39" s="49"/>
      <c r="R39" s="57"/>
      <c r="S39" s="58"/>
      <c r="T39" s="48"/>
      <c r="U39" s="49"/>
      <c r="V39" s="57"/>
      <c r="W39" s="58"/>
      <c r="X39" s="48"/>
      <c r="Y39" s="49"/>
      <c r="Z39" s="59"/>
      <c r="AA39" s="60"/>
      <c r="AB39" s="61">
        <f>Z39*L7/100</f>
        <v>0</v>
      </c>
      <c r="AC39" s="61"/>
      <c r="AD39" s="61"/>
      <c r="AE39" s="62" t="e">
        <f>AB39/L7</f>
        <v>#DIV/0!</v>
      </c>
      <c r="AF39" s="63"/>
      <c r="AG39" s="57"/>
      <c r="AH39" s="58"/>
      <c r="AI39" s="69"/>
      <c r="AJ39" s="69"/>
      <c r="AK39" s="57"/>
      <c r="AL39" s="58"/>
      <c r="AM39" s="70"/>
      <c r="AN39" s="71"/>
      <c r="AO39" s="57"/>
      <c r="AP39" s="58"/>
      <c r="AQ39" s="48"/>
      <c r="AR39" s="49"/>
      <c r="AV39" s="10"/>
    </row>
    <row r="40" spans="1:48" ht="16.350000000000001" customHeight="1">
      <c r="A40" s="64"/>
      <c r="B40" s="64"/>
      <c r="C40" s="44" t="s">
        <v>65</v>
      </c>
      <c r="D40" s="65"/>
      <c r="E40" s="65"/>
      <c r="F40" s="65"/>
      <c r="G40" s="65"/>
      <c r="H40" s="65"/>
      <c r="I40" s="65"/>
      <c r="J40" s="65"/>
      <c r="K40" s="65"/>
      <c r="L40" s="45"/>
      <c r="M40" s="11"/>
      <c r="N40" s="44" t="s">
        <v>66</v>
      </c>
      <c r="O40" s="45"/>
      <c r="P40" s="46">
        <v>37.01</v>
      </c>
      <c r="Q40" s="47"/>
      <c r="R40" s="44" t="s">
        <v>67</v>
      </c>
      <c r="S40" s="45"/>
      <c r="T40" s="46">
        <v>52</v>
      </c>
      <c r="U40" s="47"/>
      <c r="V40" s="44" t="s">
        <v>68</v>
      </c>
      <c r="W40" s="45"/>
      <c r="X40" s="46">
        <v>4.5999999999999996</v>
      </c>
      <c r="Y40" s="47"/>
      <c r="Z40" s="59"/>
      <c r="AA40" s="60"/>
      <c r="AB40" s="61">
        <f>Z40*L7/100</f>
        <v>0</v>
      </c>
      <c r="AC40" s="61"/>
      <c r="AD40" s="61"/>
      <c r="AE40" s="62" t="e">
        <f>AB40/L7</f>
        <v>#DIV/0!</v>
      </c>
      <c r="AF40" s="63"/>
      <c r="AG40" s="44" t="s">
        <v>66</v>
      </c>
      <c r="AH40" s="45"/>
      <c r="AI40" s="37">
        <f>Z40*P40/100</f>
        <v>0</v>
      </c>
      <c r="AJ40" s="37"/>
      <c r="AK40" s="44" t="s">
        <v>67</v>
      </c>
      <c r="AL40" s="45"/>
      <c r="AM40" s="46">
        <f>Z40*T40/100</f>
        <v>0</v>
      </c>
      <c r="AN40" s="47"/>
      <c r="AO40" s="44" t="s">
        <v>68</v>
      </c>
      <c r="AP40" s="45"/>
      <c r="AQ40" s="46">
        <f>X40*Z40/100</f>
        <v>0</v>
      </c>
      <c r="AR40" s="47"/>
      <c r="AV40" s="10"/>
    </row>
    <row r="41" spans="1:48" ht="16.350000000000001" customHeight="1">
      <c r="A41" s="44"/>
      <c r="B41" s="45"/>
      <c r="C41" s="44" t="s">
        <v>69</v>
      </c>
      <c r="D41" s="65"/>
      <c r="E41" s="65"/>
      <c r="F41" s="65"/>
      <c r="G41" s="65"/>
      <c r="H41" s="65"/>
      <c r="I41" s="65"/>
      <c r="J41" s="65"/>
      <c r="K41" s="65"/>
      <c r="L41" s="45"/>
      <c r="M41" s="11"/>
      <c r="N41" s="44" t="s">
        <v>66</v>
      </c>
      <c r="O41" s="45"/>
      <c r="P41" s="46">
        <v>19.989999999999998</v>
      </c>
      <c r="Q41" s="47"/>
      <c r="R41" s="44" t="s">
        <v>67</v>
      </c>
      <c r="S41" s="45"/>
      <c r="T41" s="46">
        <v>28.08</v>
      </c>
      <c r="U41" s="47"/>
      <c r="V41" s="44" t="s">
        <v>68</v>
      </c>
      <c r="W41" s="45"/>
      <c r="X41" s="46">
        <v>2.48</v>
      </c>
      <c r="Y41" s="47"/>
      <c r="Z41" s="59"/>
      <c r="AA41" s="60"/>
      <c r="AB41" s="61">
        <f>Z41*L7/100</f>
        <v>0</v>
      </c>
      <c r="AC41" s="61"/>
      <c r="AD41" s="61"/>
      <c r="AE41" s="62" t="e">
        <f>AB41/L7</f>
        <v>#DIV/0!</v>
      </c>
      <c r="AF41" s="63"/>
      <c r="AG41" s="44" t="s">
        <v>66</v>
      </c>
      <c r="AH41" s="45"/>
      <c r="AI41" s="37">
        <f>Z41*P41/100</f>
        <v>0</v>
      </c>
      <c r="AJ41" s="37"/>
      <c r="AK41" s="44" t="s">
        <v>67</v>
      </c>
      <c r="AL41" s="45"/>
      <c r="AM41" s="46">
        <f>Z41*T41/100</f>
        <v>0</v>
      </c>
      <c r="AN41" s="47"/>
      <c r="AO41" s="44" t="s">
        <v>68</v>
      </c>
      <c r="AP41" s="45"/>
      <c r="AQ41" s="46">
        <f>X41*Z41/100</f>
        <v>0</v>
      </c>
      <c r="AR41" s="47"/>
      <c r="AV41" s="10"/>
    </row>
    <row r="42" spans="1:48" ht="16.350000000000001" customHeight="1">
      <c r="A42" s="44"/>
      <c r="B42" s="45"/>
      <c r="C42" s="44" t="s">
        <v>70</v>
      </c>
      <c r="D42" s="65"/>
      <c r="E42" s="65"/>
      <c r="F42" s="65"/>
      <c r="G42" s="65"/>
      <c r="H42" s="65"/>
      <c r="I42" s="65"/>
      <c r="J42" s="65"/>
      <c r="K42" s="65"/>
      <c r="L42" s="45"/>
      <c r="M42" s="11"/>
      <c r="N42" s="44" t="s">
        <v>66</v>
      </c>
      <c r="O42" s="45"/>
      <c r="P42" s="46">
        <v>18.5</v>
      </c>
      <c r="Q42" s="47"/>
      <c r="R42" s="44" t="s">
        <v>67</v>
      </c>
      <c r="S42" s="45"/>
      <c r="T42" s="46">
        <v>26</v>
      </c>
      <c r="U42" s="47"/>
      <c r="V42" s="44" t="s">
        <v>68</v>
      </c>
      <c r="W42" s="45"/>
      <c r="X42" s="46">
        <v>2.2999999999999998</v>
      </c>
      <c r="Y42" s="47"/>
      <c r="Z42" s="59"/>
      <c r="AA42" s="60"/>
      <c r="AB42" s="61">
        <f>Z42*L7/100</f>
        <v>0</v>
      </c>
      <c r="AC42" s="61"/>
      <c r="AD42" s="61"/>
      <c r="AE42" s="62" t="e">
        <f>AB42/L7</f>
        <v>#DIV/0!</v>
      </c>
      <c r="AF42" s="63"/>
      <c r="AG42" s="44" t="s">
        <v>66</v>
      </c>
      <c r="AH42" s="45"/>
      <c r="AI42" s="37">
        <f>Z42*P42/100</f>
        <v>0</v>
      </c>
      <c r="AJ42" s="37"/>
      <c r="AK42" s="44" t="s">
        <v>67</v>
      </c>
      <c r="AL42" s="45"/>
      <c r="AM42" s="46">
        <f>Z42*T42/100</f>
        <v>0</v>
      </c>
      <c r="AN42" s="47"/>
      <c r="AO42" s="44" t="s">
        <v>68</v>
      </c>
      <c r="AP42" s="45"/>
      <c r="AQ42" s="46">
        <f>X42*Z42/100</f>
        <v>0</v>
      </c>
      <c r="AR42" s="47"/>
      <c r="AV42" s="10"/>
    </row>
    <row r="43" spans="1:48" ht="16.350000000000001" customHeight="1">
      <c r="A43" s="64"/>
      <c r="B43" s="64"/>
      <c r="C43" s="44" t="s">
        <v>71</v>
      </c>
      <c r="D43" s="65"/>
      <c r="E43" s="65"/>
      <c r="F43" s="65"/>
      <c r="G43" s="65"/>
      <c r="H43" s="65"/>
      <c r="I43" s="65"/>
      <c r="J43" s="65"/>
      <c r="K43" s="65"/>
      <c r="L43" s="45"/>
      <c r="M43" s="11"/>
      <c r="N43" s="57"/>
      <c r="O43" s="58"/>
      <c r="P43" s="48"/>
      <c r="Q43" s="49"/>
      <c r="R43" s="57"/>
      <c r="S43" s="58"/>
      <c r="T43" s="48"/>
      <c r="U43" s="49"/>
      <c r="V43" s="57"/>
      <c r="W43" s="58"/>
      <c r="X43" s="48"/>
      <c r="Y43" s="49"/>
      <c r="Z43" s="59"/>
      <c r="AA43" s="60"/>
      <c r="AB43" s="61">
        <f>Z43*L7/100</f>
        <v>0</v>
      </c>
      <c r="AC43" s="61"/>
      <c r="AD43" s="61"/>
      <c r="AE43" s="62" t="e">
        <f>AB43/L7</f>
        <v>#DIV/0!</v>
      </c>
      <c r="AF43" s="63"/>
      <c r="AG43" s="57"/>
      <c r="AH43" s="58"/>
      <c r="AI43" s="69"/>
      <c r="AJ43" s="69"/>
      <c r="AK43" s="57"/>
      <c r="AL43" s="58"/>
      <c r="AM43" s="70"/>
      <c r="AN43" s="71"/>
      <c r="AO43" s="57"/>
      <c r="AP43" s="58"/>
      <c r="AQ43" s="70"/>
      <c r="AR43" s="71"/>
      <c r="AV43" s="10"/>
    </row>
    <row r="44" spans="1:48" ht="16.350000000000001" customHeight="1">
      <c r="A44" s="44"/>
      <c r="B44" s="45"/>
      <c r="C44" s="44" t="s">
        <v>72</v>
      </c>
      <c r="D44" s="65"/>
      <c r="E44" s="65"/>
      <c r="F44" s="65"/>
      <c r="G44" s="65"/>
      <c r="H44" s="65"/>
      <c r="I44" s="65"/>
      <c r="J44" s="65"/>
      <c r="K44" s="65"/>
      <c r="L44" s="45"/>
      <c r="M44" s="11"/>
      <c r="N44" s="44" t="s">
        <v>37</v>
      </c>
      <c r="O44" s="45"/>
      <c r="P44" s="46">
        <v>11</v>
      </c>
      <c r="Q44" s="47"/>
      <c r="R44" s="44" t="s">
        <v>34</v>
      </c>
      <c r="S44" s="45"/>
      <c r="T44" s="46">
        <v>60</v>
      </c>
      <c r="U44" s="47"/>
      <c r="V44" s="57"/>
      <c r="W44" s="58"/>
      <c r="X44" s="48"/>
      <c r="Y44" s="49"/>
      <c r="Z44" s="59"/>
      <c r="AA44" s="60"/>
      <c r="AB44" s="61">
        <f>Z44*L7/100</f>
        <v>0</v>
      </c>
      <c r="AC44" s="61"/>
      <c r="AD44" s="61"/>
      <c r="AE44" s="62" t="e">
        <f>AB44/L7</f>
        <v>#DIV/0!</v>
      </c>
      <c r="AF44" s="63"/>
      <c r="AG44" s="44" t="s">
        <v>37</v>
      </c>
      <c r="AH44" s="45"/>
      <c r="AI44" s="37">
        <f>Z44*P44/100</f>
        <v>0</v>
      </c>
      <c r="AJ44" s="37"/>
      <c r="AK44" s="44" t="s">
        <v>34</v>
      </c>
      <c r="AL44" s="45"/>
      <c r="AM44" s="46">
        <f>Z44*T44/100</f>
        <v>0</v>
      </c>
      <c r="AN44" s="47"/>
      <c r="AO44" s="57"/>
      <c r="AP44" s="58"/>
      <c r="AQ44" s="70"/>
      <c r="AR44" s="71"/>
      <c r="AV44" s="10"/>
    </row>
    <row r="45" spans="1:48" ht="16.350000000000001" customHeight="1">
      <c r="A45" s="64"/>
      <c r="B45" s="64"/>
      <c r="C45" s="44" t="s">
        <v>73</v>
      </c>
      <c r="D45" s="65"/>
      <c r="E45" s="65"/>
      <c r="F45" s="65"/>
      <c r="G45" s="65"/>
      <c r="H45" s="65"/>
      <c r="I45" s="65"/>
      <c r="J45" s="65"/>
      <c r="K45" s="65"/>
      <c r="L45" s="45"/>
      <c r="M45" s="11"/>
      <c r="N45" s="44" t="s">
        <v>74</v>
      </c>
      <c r="O45" s="45"/>
      <c r="P45" s="46">
        <v>39</v>
      </c>
      <c r="Q45" s="47"/>
      <c r="R45" s="57"/>
      <c r="S45" s="58"/>
      <c r="T45" s="48"/>
      <c r="U45" s="49"/>
      <c r="V45" s="57"/>
      <c r="W45" s="58"/>
      <c r="X45" s="48"/>
      <c r="Y45" s="49"/>
      <c r="Z45" s="59"/>
      <c r="AA45" s="60"/>
      <c r="AB45" s="61">
        <f>Z45*L7/100</f>
        <v>0</v>
      </c>
      <c r="AC45" s="61"/>
      <c r="AD45" s="61"/>
      <c r="AE45" s="62" t="e">
        <f>AB45/L7</f>
        <v>#DIV/0!</v>
      </c>
      <c r="AF45" s="63"/>
      <c r="AG45" s="44" t="s">
        <v>74</v>
      </c>
      <c r="AH45" s="45"/>
      <c r="AI45" s="74">
        <f>Z45*P45/100</f>
        <v>0</v>
      </c>
      <c r="AJ45" s="74"/>
      <c r="AK45" s="57"/>
      <c r="AL45" s="58"/>
      <c r="AM45" s="70"/>
      <c r="AN45" s="71"/>
      <c r="AO45" s="57"/>
      <c r="AP45" s="58"/>
      <c r="AQ45" s="70"/>
      <c r="AR45" s="71"/>
      <c r="AV45" s="10"/>
    </row>
    <row r="46" spans="1:48" ht="16.350000000000001" customHeight="1">
      <c r="A46" s="64"/>
      <c r="B46" s="64"/>
      <c r="C46" s="44" t="s">
        <v>75</v>
      </c>
      <c r="D46" s="65"/>
      <c r="E46" s="65"/>
      <c r="F46" s="65"/>
      <c r="G46" s="65"/>
      <c r="H46" s="65"/>
      <c r="I46" s="65"/>
      <c r="J46" s="65"/>
      <c r="K46" s="65"/>
      <c r="L46" s="45"/>
      <c r="M46" s="11"/>
      <c r="N46" s="57"/>
      <c r="O46" s="58"/>
      <c r="P46" s="48"/>
      <c r="Q46" s="49"/>
      <c r="R46" s="57"/>
      <c r="S46" s="58"/>
      <c r="T46" s="48"/>
      <c r="U46" s="49"/>
      <c r="V46" s="57"/>
      <c r="W46" s="58"/>
      <c r="X46" s="48"/>
      <c r="Y46" s="49"/>
      <c r="Z46" s="59"/>
      <c r="AA46" s="60"/>
      <c r="AB46" s="61">
        <f>Z46*L7/100</f>
        <v>0</v>
      </c>
      <c r="AC46" s="61"/>
      <c r="AD46" s="61"/>
      <c r="AE46" s="62" t="e">
        <f>AB46/L7</f>
        <v>#DIV/0!</v>
      </c>
      <c r="AF46" s="63"/>
      <c r="AG46" s="57"/>
      <c r="AH46" s="58"/>
      <c r="AI46" s="69"/>
      <c r="AJ46" s="69"/>
      <c r="AK46" s="57"/>
      <c r="AL46" s="58"/>
      <c r="AM46" s="70"/>
      <c r="AN46" s="71"/>
      <c r="AO46" s="57"/>
      <c r="AP46" s="58"/>
      <c r="AQ46" s="70"/>
      <c r="AR46" s="71"/>
      <c r="AV46" s="10"/>
    </row>
    <row r="47" spans="1:48" ht="16.350000000000001" customHeight="1">
      <c r="A47" s="64"/>
      <c r="B47" s="64"/>
      <c r="C47" s="44" t="s">
        <v>76</v>
      </c>
      <c r="D47" s="65"/>
      <c r="E47" s="65"/>
      <c r="F47" s="65"/>
      <c r="G47" s="65"/>
      <c r="H47" s="65"/>
      <c r="I47" s="65"/>
      <c r="J47" s="65"/>
      <c r="K47" s="65"/>
      <c r="L47" s="45"/>
      <c r="M47" s="11"/>
      <c r="N47" s="44" t="s">
        <v>37</v>
      </c>
      <c r="O47" s="45"/>
      <c r="P47" s="46">
        <v>33</v>
      </c>
      <c r="Q47" s="47"/>
      <c r="R47" s="67"/>
      <c r="S47" s="68"/>
      <c r="T47" s="70"/>
      <c r="U47" s="71"/>
      <c r="V47" s="44" t="s">
        <v>51</v>
      </c>
      <c r="W47" s="45"/>
      <c r="X47" s="46">
        <v>3</v>
      </c>
      <c r="Y47" s="47"/>
      <c r="Z47" s="59"/>
      <c r="AA47" s="60"/>
      <c r="AB47" s="61">
        <f>Z47*L7/100</f>
        <v>0</v>
      </c>
      <c r="AC47" s="61"/>
      <c r="AD47" s="61"/>
      <c r="AE47" s="62" t="e">
        <f>AB47/L7</f>
        <v>#DIV/0!</v>
      </c>
      <c r="AF47" s="63"/>
      <c r="AG47" s="44" t="s">
        <v>37</v>
      </c>
      <c r="AH47" s="45"/>
      <c r="AI47" s="37">
        <f t="shared" ref="AI47:AI59" si="2">Z47*P47/100</f>
        <v>0</v>
      </c>
      <c r="AJ47" s="37"/>
      <c r="AK47" s="67"/>
      <c r="AL47" s="68"/>
      <c r="AM47" s="70"/>
      <c r="AN47" s="71"/>
      <c r="AO47" s="44" t="s">
        <v>51</v>
      </c>
      <c r="AP47" s="45"/>
      <c r="AQ47" s="46">
        <f>X47*Z47/100</f>
        <v>0</v>
      </c>
      <c r="AR47" s="47"/>
      <c r="AV47" s="10"/>
    </row>
    <row r="48" spans="1:48" ht="16.350000000000001" customHeight="1">
      <c r="A48" s="64"/>
      <c r="B48" s="64"/>
      <c r="C48" s="44" t="s">
        <v>77</v>
      </c>
      <c r="D48" s="65"/>
      <c r="E48" s="65"/>
      <c r="F48" s="65"/>
      <c r="G48" s="65"/>
      <c r="H48" s="65"/>
      <c r="I48" s="65"/>
      <c r="J48" s="65"/>
      <c r="K48" s="65"/>
      <c r="L48" s="45"/>
      <c r="M48" s="11"/>
      <c r="N48" s="44" t="s">
        <v>37</v>
      </c>
      <c r="O48" s="45"/>
      <c r="P48" s="46">
        <v>20</v>
      </c>
      <c r="Q48" s="47"/>
      <c r="R48" s="57"/>
      <c r="S48" s="58"/>
      <c r="T48" s="48"/>
      <c r="U48" s="49"/>
      <c r="V48" s="57"/>
      <c r="W48" s="58"/>
      <c r="X48" s="48"/>
      <c r="Y48" s="49"/>
      <c r="Z48" s="59"/>
      <c r="AA48" s="60"/>
      <c r="AB48" s="61">
        <f>Z48*L7/100</f>
        <v>0</v>
      </c>
      <c r="AC48" s="61"/>
      <c r="AD48" s="61"/>
      <c r="AE48" s="62" t="e">
        <f>AB48/L7</f>
        <v>#DIV/0!</v>
      </c>
      <c r="AF48" s="63"/>
      <c r="AG48" s="44" t="s">
        <v>37</v>
      </c>
      <c r="AH48" s="45"/>
      <c r="AI48" s="37">
        <f t="shared" si="2"/>
        <v>0</v>
      </c>
      <c r="AJ48" s="37"/>
      <c r="AK48" s="57"/>
      <c r="AL48" s="58"/>
      <c r="AM48" s="70"/>
      <c r="AN48" s="71"/>
      <c r="AO48" s="57"/>
      <c r="AP48" s="58"/>
      <c r="AQ48" s="48"/>
      <c r="AR48" s="49"/>
      <c r="AV48" s="10"/>
    </row>
    <row r="49" spans="1:48" ht="16.350000000000001" customHeight="1">
      <c r="A49" s="64"/>
      <c r="B49" s="64"/>
      <c r="C49" s="44" t="s">
        <v>78</v>
      </c>
      <c r="D49" s="65"/>
      <c r="E49" s="65"/>
      <c r="F49" s="65"/>
      <c r="G49" s="65"/>
      <c r="H49" s="65"/>
      <c r="I49" s="65"/>
      <c r="J49" s="65"/>
      <c r="K49" s="65"/>
      <c r="L49" s="45"/>
      <c r="M49" s="11"/>
      <c r="N49" s="44" t="s">
        <v>37</v>
      </c>
      <c r="O49" s="45"/>
      <c r="P49" s="46">
        <v>13</v>
      </c>
      <c r="Q49" s="47"/>
      <c r="R49" s="44" t="s">
        <v>51</v>
      </c>
      <c r="S49" s="45"/>
      <c r="T49" s="46">
        <v>46</v>
      </c>
      <c r="U49" s="47"/>
      <c r="V49" s="67"/>
      <c r="W49" s="68"/>
      <c r="X49" s="70"/>
      <c r="Y49" s="71"/>
      <c r="Z49" s="59"/>
      <c r="AA49" s="60"/>
      <c r="AB49" s="61">
        <f>Z49*L7/100</f>
        <v>0</v>
      </c>
      <c r="AC49" s="61"/>
      <c r="AD49" s="61"/>
      <c r="AE49" s="62" t="e">
        <f>AB49/L7</f>
        <v>#DIV/0!</v>
      </c>
      <c r="AF49" s="63"/>
      <c r="AG49" s="44" t="s">
        <v>37</v>
      </c>
      <c r="AH49" s="45"/>
      <c r="AI49" s="37">
        <f t="shared" si="2"/>
        <v>0</v>
      </c>
      <c r="AJ49" s="37"/>
      <c r="AK49" s="44" t="s">
        <v>51</v>
      </c>
      <c r="AL49" s="45"/>
      <c r="AM49" s="46">
        <f>Z49*T49/100</f>
        <v>0</v>
      </c>
      <c r="AN49" s="47"/>
      <c r="AO49" s="67"/>
      <c r="AP49" s="68"/>
      <c r="AQ49" s="70"/>
      <c r="AR49" s="71"/>
      <c r="AV49" s="10"/>
    </row>
    <row r="50" spans="1:48" ht="16.350000000000001" customHeight="1">
      <c r="A50" s="64"/>
      <c r="B50" s="64"/>
      <c r="C50" s="44" t="s">
        <v>79</v>
      </c>
      <c r="D50" s="65"/>
      <c r="E50" s="65"/>
      <c r="F50" s="65"/>
      <c r="G50" s="65"/>
      <c r="H50" s="65"/>
      <c r="I50" s="65"/>
      <c r="J50" s="65"/>
      <c r="K50" s="65"/>
      <c r="L50" s="45"/>
      <c r="M50" s="11"/>
      <c r="N50" s="44" t="s">
        <v>51</v>
      </c>
      <c r="O50" s="45"/>
      <c r="P50" s="46">
        <v>75</v>
      </c>
      <c r="Q50" s="47"/>
      <c r="R50" s="57"/>
      <c r="S50" s="58"/>
      <c r="T50" s="48"/>
      <c r="U50" s="49"/>
      <c r="V50" s="57"/>
      <c r="W50" s="58"/>
      <c r="X50" s="48"/>
      <c r="Y50" s="49"/>
      <c r="Z50" s="59"/>
      <c r="AA50" s="60"/>
      <c r="AB50" s="61">
        <f>Z50*L7/100</f>
        <v>0</v>
      </c>
      <c r="AC50" s="61"/>
      <c r="AD50" s="61"/>
      <c r="AE50" s="62" t="e">
        <f>AB50/L7</f>
        <v>#DIV/0!</v>
      </c>
      <c r="AF50" s="63"/>
      <c r="AG50" s="44" t="s">
        <v>51</v>
      </c>
      <c r="AH50" s="45"/>
      <c r="AI50" s="37">
        <f t="shared" si="2"/>
        <v>0</v>
      </c>
      <c r="AJ50" s="37"/>
      <c r="AK50" s="57"/>
      <c r="AL50" s="58"/>
      <c r="AM50" s="70"/>
      <c r="AN50" s="71"/>
      <c r="AO50" s="57"/>
      <c r="AP50" s="58"/>
      <c r="AQ50" s="48"/>
      <c r="AR50" s="49"/>
      <c r="AV50" s="10"/>
    </row>
    <row r="51" spans="1:48" ht="16.350000000000001" customHeight="1">
      <c r="A51" s="64"/>
      <c r="B51" s="64"/>
      <c r="C51" s="44" t="s">
        <v>79</v>
      </c>
      <c r="D51" s="65"/>
      <c r="E51" s="65"/>
      <c r="F51" s="65"/>
      <c r="G51" s="65"/>
      <c r="H51" s="65"/>
      <c r="I51" s="65"/>
      <c r="J51" s="65"/>
      <c r="K51" s="65"/>
      <c r="L51" s="45"/>
      <c r="M51" s="11"/>
      <c r="N51" s="44" t="s">
        <v>51</v>
      </c>
      <c r="O51" s="45"/>
      <c r="P51" s="46">
        <v>73</v>
      </c>
      <c r="Q51" s="47"/>
      <c r="R51" s="57"/>
      <c r="S51" s="58"/>
      <c r="T51" s="48"/>
      <c r="U51" s="49"/>
      <c r="V51" s="57"/>
      <c r="W51" s="58"/>
      <c r="X51" s="48"/>
      <c r="Y51" s="49"/>
      <c r="Z51" s="59"/>
      <c r="AA51" s="60"/>
      <c r="AB51" s="61">
        <f>Z51*L7/100</f>
        <v>0</v>
      </c>
      <c r="AC51" s="61"/>
      <c r="AD51" s="61"/>
      <c r="AE51" s="62" t="e">
        <f>AB51/L7</f>
        <v>#DIV/0!</v>
      </c>
      <c r="AF51" s="63"/>
      <c r="AG51" s="44" t="s">
        <v>51</v>
      </c>
      <c r="AH51" s="45"/>
      <c r="AI51" s="37">
        <f t="shared" si="2"/>
        <v>0</v>
      </c>
      <c r="AJ51" s="37"/>
      <c r="AK51" s="15"/>
      <c r="AL51" s="16"/>
      <c r="AM51" s="19"/>
      <c r="AN51" s="20"/>
      <c r="AO51" s="15"/>
      <c r="AP51" s="16"/>
      <c r="AQ51" s="17"/>
      <c r="AR51" s="18"/>
      <c r="AV51" s="10"/>
    </row>
    <row r="52" spans="1:48" ht="16.350000000000001" customHeight="1">
      <c r="A52" s="64"/>
      <c r="B52" s="64"/>
      <c r="C52" s="44" t="s">
        <v>80</v>
      </c>
      <c r="D52" s="65"/>
      <c r="E52" s="65"/>
      <c r="F52" s="65"/>
      <c r="G52" s="65"/>
      <c r="H52" s="65"/>
      <c r="I52" s="65"/>
      <c r="J52" s="65"/>
      <c r="K52" s="65"/>
      <c r="L52" s="45"/>
      <c r="M52" s="11"/>
      <c r="N52" s="44" t="s">
        <v>81</v>
      </c>
      <c r="O52" s="45"/>
      <c r="P52" s="46">
        <v>20</v>
      </c>
      <c r="Q52" s="47"/>
      <c r="R52" s="44" t="s">
        <v>4</v>
      </c>
      <c r="S52" s="45"/>
      <c r="T52" s="46">
        <v>10.9</v>
      </c>
      <c r="U52" s="47"/>
      <c r="V52" s="57"/>
      <c r="W52" s="58"/>
      <c r="X52" s="48"/>
      <c r="Y52" s="49"/>
      <c r="Z52" s="59"/>
      <c r="AA52" s="60"/>
      <c r="AB52" s="61">
        <f>Z52*L7/100</f>
        <v>0</v>
      </c>
      <c r="AC52" s="61"/>
      <c r="AD52" s="61"/>
      <c r="AE52" s="62" t="e">
        <f>AB52/L7</f>
        <v>#DIV/0!</v>
      </c>
      <c r="AF52" s="63"/>
      <c r="AG52" s="44" t="s">
        <v>81</v>
      </c>
      <c r="AH52" s="45"/>
      <c r="AI52" s="37">
        <f t="shared" si="2"/>
        <v>0</v>
      </c>
      <c r="AJ52" s="37"/>
      <c r="AK52" s="44" t="s">
        <v>4</v>
      </c>
      <c r="AL52" s="45"/>
      <c r="AM52" s="46">
        <f>Z52*T52/100</f>
        <v>0</v>
      </c>
      <c r="AN52" s="47"/>
      <c r="AO52" s="57"/>
      <c r="AP52" s="58"/>
      <c r="AQ52" s="48"/>
      <c r="AR52" s="49"/>
      <c r="AV52" s="10"/>
    </row>
    <row r="53" spans="1:48" ht="16.350000000000001" customHeight="1">
      <c r="A53" s="64"/>
      <c r="B53" s="64"/>
      <c r="C53" s="44" t="s">
        <v>82</v>
      </c>
      <c r="D53" s="65"/>
      <c r="E53" s="65"/>
      <c r="F53" s="65"/>
      <c r="G53" s="65"/>
      <c r="H53" s="65"/>
      <c r="I53" s="65"/>
      <c r="J53" s="65"/>
      <c r="K53" s="65"/>
      <c r="L53" s="45"/>
      <c r="M53" s="11"/>
      <c r="N53" s="44" t="s">
        <v>3</v>
      </c>
      <c r="O53" s="45"/>
      <c r="P53" s="46">
        <v>25</v>
      </c>
      <c r="Q53" s="47"/>
      <c r="R53" s="44" t="s">
        <v>4</v>
      </c>
      <c r="S53" s="45"/>
      <c r="T53" s="46">
        <v>12</v>
      </c>
      <c r="U53" s="47"/>
      <c r="V53" s="57"/>
      <c r="W53" s="58"/>
      <c r="X53" s="48"/>
      <c r="Y53" s="49"/>
      <c r="Z53" s="59"/>
      <c r="AA53" s="60"/>
      <c r="AB53" s="61">
        <f>Z53*L7/100</f>
        <v>0</v>
      </c>
      <c r="AC53" s="61"/>
      <c r="AD53" s="61"/>
      <c r="AE53" s="62" t="e">
        <f>AB53/L7</f>
        <v>#DIV/0!</v>
      </c>
      <c r="AF53" s="63"/>
      <c r="AG53" s="44" t="s">
        <v>3</v>
      </c>
      <c r="AH53" s="45"/>
      <c r="AI53" s="37">
        <f t="shared" si="2"/>
        <v>0</v>
      </c>
      <c r="AJ53" s="37"/>
      <c r="AK53" s="44" t="s">
        <v>4</v>
      </c>
      <c r="AL53" s="45"/>
      <c r="AM53" s="46">
        <f>Z53*T53/100</f>
        <v>0</v>
      </c>
      <c r="AN53" s="47"/>
      <c r="AO53" s="57"/>
      <c r="AP53" s="58"/>
      <c r="AQ53" s="48"/>
      <c r="AR53" s="49"/>
      <c r="AV53" s="10"/>
    </row>
    <row r="54" spans="1:48" ht="16.350000000000001" customHeight="1">
      <c r="A54" s="64"/>
      <c r="B54" s="64"/>
      <c r="C54" s="44" t="s">
        <v>83</v>
      </c>
      <c r="D54" s="65"/>
      <c r="E54" s="65"/>
      <c r="F54" s="65"/>
      <c r="G54" s="65"/>
      <c r="H54" s="65"/>
      <c r="I54" s="65"/>
      <c r="J54" s="65"/>
      <c r="K54" s="65"/>
      <c r="L54" s="45"/>
      <c r="M54" s="11"/>
      <c r="N54" s="44" t="s">
        <v>63</v>
      </c>
      <c r="O54" s="45"/>
      <c r="P54" s="46">
        <v>28</v>
      </c>
      <c r="Q54" s="47"/>
      <c r="R54" s="44" t="s">
        <v>4</v>
      </c>
      <c r="S54" s="45"/>
      <c r="T54" s="46">
        <v>16</v>
      </c>
      <c r="U54" s="47"/>
      <c r="V54" s="57"/>
      <c r="W54" s="58"/>
      <c r="X54" s="48"/>
      <c r="Y54" s="49"/>
      <c r="Z54" s="59"/>
      <c r="AA54" s="60"/>
      <c r="AB54" s="61">
        <f>Z54*L7/100</f>
        <v>0</v>
      </c>
      <c r="AC54" s="61"/>
      <c r="AD54" s="61"/>
      <c r="AE54" s="62" t="e">
        <f>AB54/L7</f>
        <v>#DIV/0!</v>
      </c>
      <c r="AF54" s="63"/>
      <c r="AG54" s="44" t="s">
        <v>63</v>
      </c>
      <c r="AH54" s="45"/>
      <c r="AI54" s="37">
        <f t="shared" si="2"/>
        <v>0</v>
      </c>
      <c r="AJ54" s="37"/>
      <c r="AK54" s="44" t="s">
        <v>4</v>
      </c>
      <c r="AL54" s="45"/>
      <c r="AM54" s="46">
        <f>Z54*T54/100</f>
        <v>0</v>
      </c>
      <c r="AN54" s="47"/>
      <c r="AO54" s="57"/>
      <c r="AP54" s="58"/>
      <c r="AQ54" s="48"/>
      <c r="AR54" s="49"/>
      <c r="AV54" s="10"/>
    </row>
    <row r="55" spans="1:48" ht="16.350000000000001" customHeight="1">
      <c r="A55" s="64"/>
      <c r="B55" s="64"/>
      <c r="C55" s="44" t="s">
        <v>108</v>
      </c>
      <c r="D55" s="65"/>
      <c r="E55" s="65"/>
      <c r="F55" s="65"/>
      <c r="G55" s="65"/>
      <c r="H55" s="65"/>
      <c r="I55" s="65"/>
      <c r="J55" s="65"/>
      <c r="K55" s="65"/>
      <c r="L55" s="45"/>
      <c r="M55" s="11"/>
      <c r="N55" s="44" t="s">
        <v>5</v>
      </c>
      <c r="O55" s="45"/>
      <c r="P55" s="46">
        <v>8</v>
      </c>
      <c r="Q55" s="47"/>
      <c r="R55" s="44" t="s">
        <v>4</v>
      </c>
      <c r="S55" s="45"/>
      <c r="T55" s="46">
        <v>12</v>
      </c>
      <c r="U55" s="47"/>
      <c r="V55" s="57"/>
      <c r="W55" s="58"/>
      <c r="X55" s="48"/>
      <c r="Y55" s="49"/>
      <c r="Z55" s="59"/>
      <c r="AA55" s="60"/>
      <c r="AB55" s="61">
        <f>Z55*L7/100</f>
        <v>0</v>
      </c>
      <c r="AC55" s="61"/>
      <c r="AD55" s="61"/>
      <c r="AE55" s="62" t="e">
        <f>AB55/L7</f>
        <v>#DIV/0!</v>
      </c>
      <c r="AF55" s="63"/>
      <c r="AG55" s="44" t="s">
        <v>5</v>
      </c>
      <c r="AH55" s="45"/>
      <c r="AI55" s="37">
        <f t="shared" si="2"/>
        <v>0</v>
      </c>
      <c r="AJ55" s="37"/>
      <c r="AK55" s="44" t="s">
        <v>4</v>
      </c>
      <c r="AL55" s="45"/>
      <c r="AM55" s="46">
        <f>Z55*T55/100</f>
        <v>0</v>
      </c>
      <c r="AN55" s="47"/>
      <c r="AO55" s="57"/>
      <c r="AP55" s="58"/>
      <c r="AQ55" s="48"/>
      <c r="AR55" s="49"/>
      <c r="AV55" s="10"/>
    </row>
    <row r="56" spans="1:48" ht="16.350000000000001" customHeight="1">
      <c r="A56" s="64"/>
      <c r="B56" s="64"/>
      <c r="C56" s="44" t="s">
        <v>84</v>
      </c>
      <c r="D56" s="65"/>
      <c r="E56" s="65"/>
      <c r="F56" s="65"/>
      <c r="G56" s="65"/>
      <c r="H56" s="65"/>
      <c r="I56" s="65"/>
      <c r="J56" s="65"/>
      <c r="K56" s="65"/>
      <c r="L56" s="45"/>
      <c r="M56" s="11"/>
      <c r="N56" s="44" t="s">
        <v>1</v>
      </c>
      <c r="O56" s="45"/>
      <c r="P56" s="46">
        <v>30</v>
      </c>
      <c r="Q56" s="47"/>
      <c r="R56" s="44" t="s">
        <v>4</v>
      </c>
      <c r="S56" s="45"/>
      <c r="T56" s="46">
        <v>17</v>
      </c>
      <c r="U56" s="47"/>
      <c r="V56" s="57"/>
      <c r="W56" s="58"/>
      <c r="X56" s="48"/>
      <c r="Y56" s="49"/>
      <c r="Z56" s="59"/>
      <c r="AA56" s="60"/>
      <c r="AB56" s="61">
        <f>Z56*L7/100</f>
        <v>0</v>
      </c>
      <c r="AC56" s="61"/>
      <c r="AD56" s="61"/>
      <c r="AE56" s="72" t="e">
        <f>AB56/L7</f>
        <v>#DIV/0!</v>
      </c>
      <c r="AF56" s="73"/>
      <c r="AG56" s="44" t="s">
        <v>1</v>
      </c>
      <c r="AH56" s="45"/>
      <c r="AI56" s="37">
        <f t="shared" si="2"/>
        <v>0</v>
      </c>
      <c r="AJ56" s="37"/>
      <c r="AK56" s="44" t="s">
        <v>4</v>
      </c>
      <c r="AL56" s="45"/>
      <c r="AM56" s="46">
        <f>Z56*T56/100</f>
        <v>0</v>
      </c>
      <c r="AN56" s="47"/>
      <c r="AO56" s="57"/>
      <c r="AP56" s="58"/>
      <c r="AQ56" s="48"/>
      <c r="AR56" s="49"/>
      <c r="AV56" s="10"/>
    </row>
    <row r="57" spans="1:48" ht="16.350000000000001" customHeight="1">
      <c r="A57" s="64"/>
      <c r="B57" s="64"/>
      <c r="C57" s="44" t="s">
        <v>85</v>
      </c>
      <c r="D57" s="65"/>
      <c r="E57" s="65"/>
      <c r="F57" s="65"/>
      <c r="G57" s="65"/>
      <c r="H57" s="65"/>
      <c r="I57" s="65"/>
      <c r="J57" s="65"/>
      <c r="K57" s="65"/>
      <c r="L57" s="45"/>
      <c r="M57" s="11"/>
      <c r="N57" s="44" t="s">
        <v>51</v>
      </c>
      <c r="O57" s="45"/>
      <c r="P57" s="46">
        <v>50.9</v>
      </c>
      <c r="Q57" s="47"/>
      <c r="R57" s="67"/>
      <c r="S57" s="68"/>
      <c r="T57" s="70"/>
      <c r="U57" s="71"/>
      <c r="V57" s="44" t="s">
        <v>4</v>
      </c>
      <c r="W57" s="45"/>
      <c r="X57" s="46">
        <v>17.8</v>
      </c>
      <c r="Y57" s="47"/>
      <c r="Z57" s="59"/>
      <c r="AA57" s="60"/>
      <c r="AB57" s="61">
        <f>Z57*L7/100</f>
        <v>0</v>
      </c>
      <c r="AC57" s="61"/>
      <c r="AD57" s="61"/>
      <c r="AE57" s="62" t="e">
        <f>AB57/L7</f>
        <v>#DIV/0!</v>
      </c>
      <c r="AF57" s="63"/>
      <c r="AG57" s="44" t="s">
        <v>51</v>
      </c>
      <c r="AH57" s="45"/>
      <c r="AI57" s="37">
        <f t="shared" si="2"/>
        <v>0</v>
      </c>
      <c r="AJ57" s="37"/>
      <c r="AK57" s="67"/>
      <c r="AL57" s="68"/>
      <c r="AM57" s="70"/>
      <c r="AN57" s="71"/>
      <c r="AO57" s="44" t="s">
        <v>4</v>
      </c>
      <c r="AP57" s="45"/>
      <c r="AQ57" s="46">
        <f>Z57*X57/100</f>
        <v>0</v>
      </c>
      <c r="AR57" s="47"/>
      <c r="AV57" s="10"/>
    </row>
    <row r="58" spans="1:48" ht="16.350000000000001" customHeight="1">
      <c r="A58" s="64"/>
      <c r="B58" s="64"/>
      <c r="C58" s="44" t="s">
        <v>86</v>
      </c>
      <c r="D58" s="65"/>
      <c r="E58" s="65"/>
      <c r="F58" s="65"/>
      <c r="G58" s="65"/>
      <c r="H58" s="65"/>
      <c r="I58" s="65"/>
      <c r="J58" s="65"/>
      <c r="K58" s="65"/>
      <c r="L58" s="45"/>
      <c r="M58" s="11"/>
      <c r="N58" s="44" t="s">
        <v>2</v>
      </c>
      <c r="O58" s="45"/>
      <c r="P58" s="46">
        <v>35</v>
      </c>
      <c r="Q58" s="47"/>
      <c r="R58" s="44" t="s">
        <v>4</v>
      </c>
      <c r="S58" s="45"/>
      <c r="T58" s="46">
        <v>17</v>
      </c>
      <c r="U58" s="47"/>
      <c r="V58" s="57"/>
      <c r="W58" s="58"/>
      <c r="X58" s="48"/>
      <c r="Y58" s="49"/>
      <c r="Z58" s="59"/>
      <c r="AA58" s="60"/>
      <c r="AB58" s="61">
        <f>Z58*L7/100</f>
        <v>0</v>
      </c>
      <c r="AC58" s="61"/>
      <c r="AD58" s="61"/>
      <c r="AE58" s="72" t="e">
        <f>AB58/L7</f>
        <v>#DIV/0!</v>
      </c>
      <c r="AF58" s="73"/>
      <c r="AG58" s="44" t="s">
        <v>2</v>
      </c>
      <c r="AH58" s="45"/>
      <c r="AI58" s="37">
        <f t="shared" si="2"/>
        <v>0</v>
      </c>
      <c r="AJ58" s="37"/>
      <c r="AK58" s="44" t="s">
        <v>4</v>
      </c>
      <c r="AL58" s="45"/>
      <c r="AM58" s="46">
        <f>Z58*T58/100</f>
        <v>0</v>
      </c>
      <c r="AN58" s="47"/>
      <c r="AO58" s="57"/>
      <c r="AP58" s="58"/>
      <c r="AQ58" s="48"/>
      <c r="AR58" s="49"/>
      <c r="AV58" s="10"/>
    </row>
    <row r="59" spans="1:48" ht="16.350000000000001" customHeight="1">
      <c r="A59" s="64"/>
      <c r="B59" s="64"/>
      <c r="C59" s="44" t="s">
        <v>87</v>
      </c>
      <c r="D59" s="65"/>
      <c r="E59" s="65"/>
      <c r="F59" s="65"/>
      <c r="G59" s="65"/>
      <c r="H59" s="65"/>
      <c r="I59" s="65"/>
      <c r="J59" s="65"/>
      <c r="K59" s="65"/>
      <c r="L59" s="45"/>
      <c r="M59" s="11"/>
      <c r="N59" s="44" t="s">
        <v>37</v>
      </c>
      <c r="O59" s="45"/>
      <c r="P59" s="46">
        <v>46</v>
      </c>
      <c r="Q59" s="47"/>
      <c r="R59" s="57"/>
      <c r="S59" s="58"/>
      <c r="T59" s="48"/>
      <c r="U59" s="49"/>
      <c r="V59" s="57"/>
      <c r="W59" s="58"/>
      <c r="X59" s="48"/>
      <c r="Y59" s="49"/>
      <c r="Z59" s="59">
        <v>100</v>
      </c>
      <c r="AA59" s="60"/>
      <c r="AB59" s="61">
        <f>Z59*L8/100</f>
        <v>0</v>
      </c>
      <c r="AC59" s="61"/>
      <c r="AD59" s="61"/>
      <c r="AE59" s="62" t="e">
        <f>AB59/L7</f>
        <v>#DIV/0!</v>
      </c>
      <c r="AF59" s="63"/>
      <c r="AG59" s="44" t="s">
        <v>37</v>
      </c>
      <c r="AH59" s="45"/>
      <c r="AI59" s="37">
        <f t="shared" si="2"/>
        <v>46</v>
      </c>
      <c r="AJ59" s="37"/>
      <c r="AK59" s="57"/>
      <c r="AL59" s="58"/>
      <c r="AM59" s="70"/>
      <c r="AN59" s="71"/>
      <c r="AO59" s="57"/>
      <c r="AP59" s="58"/>
      <c r="AQ59" s="48"/>
      <c r="AR59" s="49"/>
      <c r="AV59" s="10"/>
    </row>
    <row r="60" spans="1:48" ht="16.350000000000001" customHeight="1">
      <c r="A60" s="64"/>
      <c r="B60" s="64"/>
      <c r="C60" s="22" t="s">
        <v>88</v>
      </c>
      <c r="D60" s="22"/>
      <c r="E60" s="22"/>
      <c r="F60" s="22"/>
      <c r="G60" s="22"/>
      <c r="H60" s="22"/>
      <c r="I60" s="22"/>
      <c r="J60" s="22"/>
      <c r="K60" s="22"/>
      <c r="L60" s="22"/>
      <c r="M60" s="11"/>
      <c r="N60" s="67"/>
      <c r="O60" s="68"/>
      <c r="P60" s="70"/>
      <c r="Q60" s="71"/>
      <c r="R60" s="57"/>
      <c r="S60" s="58"/>
      <c r="T60" s="48"/>
      <c r="U60" s="49"/>
      <c r="V60" s="57"/>
      <c r="W60" s="58"/>
      <c r="X60" s="48"/>
      <c r="Y60" s="49"/>
      <c r="Z60" s="59"/>
      <c r="AA60" s="60"/>
      <c r="AB60" s="61">
        <f>Z60*L7/100</f>
        <v>0</v>
      </c>
      <c r="AC60" s="61"/>
      <c r="AD60" s="61"/>
      <c r="AE60" s="62" t="e">
        <f>AB60/L7</f>
        <v>#DIV/0!</v>
      </c>
      <c r="AF60" s="63"/>
      <c r="AG60" s="67"/>
      <c r="AH60" s="68"/>
      <c r="AI60" s="69"/>
      <c r="AJ60" s="69"/>
      <c r="AK60" s="67"/>
      <c r="AL60" s="68"/>
      <c r="AM60" s="70"/>
      <c r="AN60" s="71"/>
      <c r="AO60" s="57"/>
      <c r="AP60" s="58"/>
      <c r="AQ60" s="48"/>
      <c r="AR60" s="49"/>
      <c r="AV60" s="10"/>
    </row>
    <row r="61" spans="1:48" ht="16.350000000000001" customHeight="1">
      <c r="A61" s="64"/>
      <c r="B61" s="64"/>
      <c r="C61" s="22" t="s">
        <v>111</v>
      </c>
      <c r="D61" s="22"/>
      <c r="E61" s="22"/>
      <c r="F61" s="22"/>
      <c r="G61" s="22"/>
      <c r="H61" s="22"/>
      <c r="I61" s="22"/>
      <c r="J61" s="22"/>
      <c r="K61" s="22"/>
      <c r="L61" s="22"/>
      <c r="M61" s="11"/>
      <c r="N61" s="67"/>
      <c r="O61" s="68"/>
      <c r="P61" s="70"/>
      <c r="Q61" s="71"/>
      <c r="R61" s="57"/>
      <c r="S61" s="58"/>
      <c r="T61" s="48"/>
      <c r="U61" s="49"/>
      <c r="V61" s="57"/>
      <c r="W61" s="58"/>
      <c r="X61" s="48"/>
      <c r="Y61" s="49"/>
      <c r="Z61" s="59"/>
      <c r="AA61" s="60"/>
      <c r="AB61" s="61">
        <f>Z61*L7/100</f>
        <v>0</v>
      </c>
      <c r="AC61" s="61"/>
      <c r="AD61" s="61"/>
      <c r="AE61" s="62" t="e">
        <f>AB61/L7</f>
        <v>#DIV/0!</v>
      </c>
      <c r="AF61" s="63"/>
      <c r="AG61" s="67"/>
      <c r="AH61" s="68"/>
      <c r="AI61" s="69"/>
      <c r="AJ61" s="69"/>
      <c r="AK61" s="67"/>
      <c r="AL61" s="68"/>
      <c r="AM61" s="70"/>
      <c r="AN61" s="71"/>
      <c r="AO61" s="57"/>
      <c r="AP61" s="58"/>
      <c r="AQ61" s="48"/>
      <c r="AR61" s="49"/>
      <c r="AV61" s="10"/>
    </row>
    <row r="62" spans="1:48" ht="16.350000000000001" customHeight="1">
      <c r="A62" s="64"/>
      <c r="B62" s="64"/>
      <c r="C62" s="22" t="s">
        <v>89</v>
      </c>
      <c r="D62" s="22"/>
      <c r="E62" s="22"/>
      <c r="F62" s="22"/>
      <c r="G62" s="22"/>
      <c r="H62" s="22"/>
      <c r="I62" s="22"/>
      <c r="J62" s="22"/>
      <c r="K62" s="22"/>
      <c r="L62" s="22"/>
      <c r="M62" s="11"/>
      <c r="N62" s="67"/>
      <c r="O62" s="68"/>
      <c r="P62" s="70"/>
      <c r="Q62" s="71"/>
      <c r="R62" s="57"/>
      <c r="S62" s="58"/>
      <c r="T62" s="48"/>
      <c r="U62" s="49"/>
      <c r="V62" s="57"/>
      <c r="W62" s="58"/>
      <c r="X62" s="48"/>
      <c r="Y62" s="49"/>
      <c r="Z62" s="59"/>
      <c r="AA62" s="60"/>
      <c r="AB62" s="61">
        <f>Z62*L7/100</f>
        <v>0</v>
      </c>
      <c r="AC62" s="61"/>
      <c r="AD62" s="61"/>
      <c r="AE62" s="62" t="e">
        <f>AB62/L7</f>
        <v>#DIV/0!</v>
      </c>
      <c r="AF62" s="63"/>
      <c r="AG62" s="67"/>
      <c r="AH62" s="68"/>
      <c r="AI62" s="69"/>
      <c r="AJ62" s="69"/>
      <c r="AK62" s="67"/>
      <c r="AL62" s="68"/>
      <c r="AM62" s="70"/>
      <c r="AN62" s="71"/>
      <c r="AO62" s="57"/>
      <c r="AP62" s="58"/>
      <c r="AQ62" s="48"/>
      <c r="AR62" s="49"/>
      <c r="AV62" s="10"/>
    </row>
    <row r="63" spans="1:48" ht="16.350000000000001" customHeight="1">
      <c r="A63" s="64"/>
      <c r="B63" s="64"/>
      <c r="C63" s="44" t="s">
        <v>90</v>
      </c>
      <c r="D63" s="65"/>
      <c r="E63" s="65"/>
      <c r="F63" s="65"/>
      <c r="G63" s="65"/>
      <c r="H63" s="65"/>
      <c r="I63" s="65"/>
      <c r="J63" s="65"/>
      <c r="K63" s="65"/>
      <c r="L63" s="45"/>
      <c r="M63" s="11"/>
      <c r="N63" s="44" t="s">
        <v>91</v>
      </c>
      <c r="O63" s="45"/>
      <c r="P63" s="46">
        <v>99</v>
      </c>
      <c r="Q63" s="47"/>
      <c r="R63" s="44" t="s">
        <v>5</v>
      </c>
      <c r="S63" s="45"/>
      <c r="T63" s="46">
        <v>54</v>
      </c>
      <c r="U63" s="47"/>
      <c r="V63" s="57"/>
      <c r="W63" s="58"/>
      <c r="X63" s="48"/>
      <c r="Y63" s="49"/>
      <c r="Z63" s="59"/>
      <c r="AA63" s="60"/>
      <c r="AB63" s="61">
        <f>Z63*L7/100</f>
        <v>0</v>
      </c>
      <c r="AC63" s="61"/>
      <c r="AD63" s="61"/>
      <c r="AE63" s="62" t="e">
        <f>AB63/L7</f>
        <v>#DIV/0!</v>
      </c>
      <c r="AF63" s="63"/>
      <c r="AG63" s="44" t="s">
        <v>91</v>
      </c>
      <c r="AH63" s="45"/>
      <c r="AI63" s="37">
        <f>Z63*P63/100</f>
        <v>0</v>
      </c>
      <c r="AJ63" s="37"/>
      <c r="AK63" s="44" t="s">
        <v>5</v>
      </c>
      <c r="AL63" s="45"/>
      <c r="AM63" s="46">
        <f>Z63*T63/100</f>
        <v>0</v>
      </c>
      <c r="AN63" s="47"/>
      <c r="AO63" s="48"/>
      <c r="AP63" s="49"/>
      <c r="AQ63" s="50"/>
      <c r="AR63" s="50"/>
      <c r="AV63" s="10"/>
    </row>
    <row r="64" spans="1:48">
      <c r="A64" s="51" t="s">
        <v>92</v>
      </c>
      <c r="B64" s="51"/>
      <c r="C64" s="51"/>
      <c r="D64" s="51"/>
      <c r="E64" s="51"/>
      <c r="F64" s="51"/>
      <c r="G64" s="51"/>
      <c r="H64" s="51"/>
      <c r="I64" s="51"/>
      <c r="J64" s="51"/>
      <c r="K64" s="51"/>
      <c r="L64" s="51"/>
      <c r="Z64" s="52">
        <f>SUM(Z11:AA63)</f>
        <v>100</v>
      </c>
      <c r="AA64" s="52"/>
      <c r="AB64" s="53">
        <f>SUM(AB11:AB63)</f>
        <v>0</v>
      </c>
      <c r="AC64" s="53"/>
      <c r="AD64" s="53"/>
      <c r="AE64" s="54" t="e">
        <f>SUM(AE11:AF63)</f>
        <v>#DIV/0!</v>
      </c>
      <c r="AF64" s="55"/>
      <c r="AI64" s="56" t="s">
        <v>93</v>
      </c>
      <c r="AJ64" s="56"/>
      <c r="AK64" s="56"/>
      <c r="AL64" s="56"/>
      <c r="AM64" s="66"/>
      <c r="AN64" s="66"/>
      <c r="AO64" s="12"/>
    </row>
    <row r="65" spans="1:44">
      <c r="A65" s="42" t="s">
        <v>94</v>
      </c>
      <c r="B65" s="42"/>
      <c r="C65" s="39" t="s">
        <v>34</v>
      </c>
      <c r="D65" s="39"/>
      <c r="E65" s="39" t="s">
        <v>51</v>
      </c>
      <c r="F65" s="39"/>
      <c r="G65" s="39" t="s">
        <v>40</v>
      </c>
      <c r="H65" s="39"/>
      <c r="I65" s="39" t="s">
        <v>5</v>
      </c>
      <c r="J65" s="39"/>
      <c r="K65" s="39" t="s">
        <v>4</v>
      </c>
      <c r="L65" s="39"/>
      <c r="M65" s="39" t="s">
        <v>2</v>
      </c>
      <c r="N65" s="39"/>
      <c r="O65" s="39" t="s">
        <v>1</v>
      </c>
      <c r="P65" s="39"/>
      <c r="Q65" s="39" t="s">
        <v>30</v>
      </c>
      <c r="R65" s="39"/>
      <c r="S65" s="39" t="s">
        <v>95</v>
      </c>
      <c r="T65" s="39"/>
      <c r="U65" s="39" t="s">
        <v>63</v>
      </c>
      <c r="V65" s="39"/>
      <c r="W65" s="39" t="s">
        <v>96</v>
      </c>
      <c r="X65" s="39"/>
      <c r="Y65" s="39" t="s">
        <v>66</v>
      </c>
      <c r="Z65" s="39"/>
      <c r="AA65" s="39" t="s">
        <v>67</v>
      </c>
      <c r="AB65" s="39"/>
      <c r="AC65" s="41" t="s">
        <v>68</v>
      </c>
      <c r="AD65" s="41"/>
      <c r="AE65" s="39" t="s">
        <v>97</v>
      </c>
      <c r="AF65" s="39"/>
      <c r="AI65" s="28"/>
      <c r="AJ65" s="28"/>
      <c r="AK65" s="28"/>
      <c r="AL65" s="28"/>
      <c r="AM65" s="32"/>
      <c r="AN65" s="32"/>
      <c r="AO65" s="13"/>
    </row>
    <row r="66" spans="1:44">
      <c r="A66" s="33"/>
      <c r="B66" s="33"/>
      <c r="C66" s="34"/>
      <c r="D66" s="34"/>
      <c r="E66" s="34"/>
      <c r="F66" s="34"/>
      <c r="G66" s="34"/>
      <c r="H66" s="34"/>
      <c r="I66" s="35"/>
      <c r="J66" s="36"/>
      <c r="K66" s="35"/>
      <c r="L66" s="36"/>
      <c r="M66" s="37"/>
      <c r="N66" s="37"/>
      <c r="O66" s="37"/>
      <c r="P66" s="37"/>
      <c r="Q66" s="37"/>
      <c r="R66" s="37"/>
      <c r="S66" s="37"/>
      <c r="T66" s="37"/>
      <c r="U66" s="34"/>
      <c r="V66" s="34"/>
      <c r="W66" s="34"/>
      <c r="X66" s="34"/>
      <c r="Y66" s="34"/>
      <c r="Z66" s="34"/>
      <c r="AA66" s="34"/>
      <c r="AB66" s="34"/>
      <c r="AC66" s="43"/>
      <c r="AD66" s="43"/>
      <c r="AE66" s="43"/>
      <c r="AF66" s="43"/>
      <c r="AI66" s="8" t="s">
        <v>107</v>
      </c>
    </row>
    <row r="67" spans="1:44">
      <c r="A67" s="23">
        <f>AI17+AI19+AI21+AI22+AI24+AI26+AI47+AI48+AI49+AI59+AI44+AI23+AI25+AI27+AI20+Z40*0/100+Z41*1.317/100+Z42*1.232/100</f>
        <v>46</v>
      </c>
      <c r="B67" s="23"/>
      <c r="C67" s="23">
        <f>AI15+AI16+AM44+Z40*0.41/100+Z41*1/100+Z42*1/100</f>
        <v>0</v>
      </c>
      <c r="D67" s="23"/>
      <c r="E67" s="23">
        <f>AI29+AI34+AI35+AQ47+AM49+AI57+AI50+AI51+Z40*2/100+Z41*1.069/100+Z42*1/100</f>
        <v>0</v>
      </c>
      <c r="F67" s="23"/>
      <c r="G67" s="40">
        <v>0</v>
      </c>
      <c r="H67" s="40"/>
      <c r="I67" s="23">
        <f>AM22+AI55+AM23+AM63+Z40*0.4/100+Z41*0.315/100+Z42*0.309/100</f>
        <v>0</v>
      </c>
      <c r="J67" s="23"/>
      <c r="K67" s="23">
        <f>AM52+AM53+AM54+AM55+AM56+AQ57+AM58+Z40*0.7/100</f>
        <v>0</v>
      </c>
      <c r="L67" s="23"/>
      <c r="M67" s="38">
        <f>AM26+AI58+AM37+AM27</f>
        <v>0</v>
      </c>
      <c r="N67" s="38"/>
      <c r="O67" s="23">
        <f>AM24+AM33+AI56+AM25</f>
        <v>0</v>
      </c>
      <c r="P67" s="23"/>
      <c r="Q67" s="23">
        <f>AI12+AI13</f>
        <v>0</v>
      </c>
      <c r="R67" s="23"/>
      <c r="S67" s="23">
        <f>AM32+AI53</f>
        <v>0</v>
      </c>
      <c r="T67" s="23"/>
      <c r="U67" s="23">
        <f>AI54+AM38+Z40*0.42/100+Z41*0.244/100+Z42*0.208/100</f>
        <v>0</v>
      </c>
      <c r="V67" s="23"/>
      <c r="W67" s="38">
        <f>AI45</f>
        <v>0</v>
      </c>
      <c r="X67" s="38"/>
      <c r="Y67" s="24">
        <f>AI40+AI41+AI42</f>
        <v>0</v>
      </c>
      <c r="Z67" s="24"/>
      <c r="AA67" s="23">
        <f>AM40+AM41+AM42</f>
        <v>0</v>
      </c>
      <c r="AB67" s="23"/>
      <c r="AC67" s="23">
        <f>AQ40+AQ41+AQ42</f>
        <v>0</v>
      </c>
      <c r="AD67" s="23"/>
      <c r="AE67" s="24">
        <f>Z40*72/100</f>
        <v>0</v>
      </c>
      <c r="AF67" s="24"/>
    </row>
    <row r="68" spans="1:44">
      <c r="A68" s="25" t="s">
        <v>98</v>
      </c>
      <c r="B68" s="25"/>
      <c r="C68" s="25"/>
      <c r="D68" s="25"/>
      <c r="E68" s="25"/>
    </row>
    <row r="69" spans="1:44" s="14" customFormat="1" ht="9" customHeight="1">
      <c r="A69" s="29">
        <v>1</v>
      </c>
      <c r="B69" s="30"/>
      <c r="C69" s="30"/>
      <c r="D69" s="30"/>
      <c r="E69" s="30"/>
      <c r="F69" s="30"/>
      <c r="G69" s="30"/>
      <c r="H69" s="30"/>
      <c r="I69" s="30"/>
      <c r="J69" s="30"/>
      <c r="K69" s="30"/>
      <c r="L69" s="30"/>
      <c r="M69" s="30"/>
      <c r="N69" s="31"/>
      <c r="O69" s="29">
        <v>2</v>
      </c>
      <c r="P69" s="30"/>
      <c r="Q69" s="30"/>
      <c r="R69" s="30"/>
      <c r="S69" s="30"/>
      <c r="T69" s="30"/>
      <c r="U69" s="30"/>
      <c r="V69" s="30"/>
      <c r="W69" s="30"/>
      <c r="X69" s="30"/>
      <c r="Y69" s="30"/>
      <c r="Z69" s="30"/>
      <c r="AA69" s="30"/>
      <c r="AB69" s="31"/>
      <c r="AC69" s="29">
        <v>3</v>
      </c>
      <c r="AD69" s="30"/>
      <c r="AE69" s="30"/>
      <c r="AF69" s="30"/>
      <c r="AG69" s="30"/>
      <c r="AH69" s="30"/>
      <c r="AI69" s="30"/>
      <c r="AJ69" s="30"/>
      <c r="AK69" s="30"/>
      <c r="AL69" s="30"/>
      <c r="AM69" s="30"/>
      <c r="AN69" s="30"/>
      <c r="AO69" s="30"/>
      <c r="AP69" s="30"/>
      <c r="AQ69" s="30"/>
      <c r="AR69" s="31"/>
    </row>
    <row r="70" spans="1:44" s="14" customFormat="1">
      <c r="A70" s="21" t="s">
        <v>12</v>
      </c>
      <c r="B70" s="21"/>
      <c r="C70" s="21"/>
      <c r="D70" s="21"/>
      <c r="E70" s="21"/>
      <c r="F70" s="21"/>
      <c r="G70" s="21"/>
      <c r="H70" s="21" t="s">
        <v>99</v>
      </c>
      <c r="I70" s="21"/>
      <c r="J70" s="21"/>
      <c r="K70" s="21"/>
      <c r="L70" s="21"/>
      <c r="M70" s="21"/>
      <c r="N70" s="21"/>
      <c r="O70" s="21" t="s">
        <v>12</v>
      </c>
      <c r="P70" s="21"/>
      <c r="Q70" s="21"/>
      <c r="R70" s="21"/>
      <c r="S70" s="21"/>
      <c r="T70" s="21"/>
      <c r="U70" s="21"/>
      <c r="V70" s="21" t="s">
        <v>99</v>
      </c>
      <c r="W70" s="21"/>
      <c r="X70" s="21"/>
      <c r="Y70" s="21"/>
      <c r="Z70" s="21"/>
      <c r="AA70" s="21"/>
      <c r="AB70" s="21"/>
      <c r="AC70" s="21" t="s">
        <v>12</v>
      </c>
      <c r="AD70" s="21"/>
      <c r="AE70" s="21"/>
      <c r="AF70" s="21"/>
      <c r="AG70" s="21"/>
      <c r="AH70" s="21"/>
      <c r="AI70" s="21"/>
      <c r="AJ70" s="21"/>
      <c r="AK70" s="21"/>
      <c r="AL70" s="21" t="s">
        <v>99</v>
      </c>
      <c r="AM70" s="21"/>
      <c r="AN70" s="21"/>
      <c r="AO70" s="21"/>
      <c r="AP70" s="21"/>
      <c r="AQ70" s="21"/>
      <c r="AR70" s="21"/>
    </row>
    <row r="71" spans="1:44" ht="21.75" customHeight="1">
      <c r="A71" s="22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2"/>
      <c r="AP71" s="22"/>
      <c r="AQ71" s="22"/>
      <c r="AR71" s="22"/>
    </row>
    <row r="72" spans="1:44" ht="4.5" hidden="1" customHeight="1"/>
    <row r="73" spans="1:44">
      <c r="A73" s="27" t="s">
        <v>100</v>
      </c>
      <c r="B73" s="27"/>
      <c r="C73" s="27"/>
      <c r="D73" s="27"/>
      <c r="E73" s="27"/>
    </row>
    <row r="74" spans="1:44" ht="0.75" customHeight="1"/>
    <row r="75" spans="1:44" s="14" customFormat="1">
      <c r="A75" s="21" t="s">
        <v>101</v>
      </c>
      <c r="B75" s="21"/>
      <c r="C75" s="21"/>
      <c r="D75" s="21"/>
      <c r="E75" s="21"/>
      <c r="F75" s="21"/>
      <c r="G75" s="21"/>
      <c r="H75" s="21" t="s">
        <v>102</v>
      </c>
      <c r="I75" s="21"/>
      <c r="J75" s="21"/>
      <c r="K75" s="21"/>
      <c r="L75" s="21"/>
      <c r="M75" s="21"/>
      <c r="N75" s="21"/>
      <c r="O75" s="21" t="s">
        <v>103</v>
      </c>
      <c r="P75" s="21"/>
      <c r="Q75" s="21"/>
      <c r="R75" s="21"/>
      <c r="S75" s="21"/>
      <c r="T75" s="21"/>
      <c r="U75" s="21"/>
      <c r="V75" s="21" t="s">
        <v>104</v>
      </c>
      <c r="W75" s="21"/>
      <c r="X75" s="21"/>
      <c r="Y75" s="21"/>
      <c r="Z75" s="21"/>
      <c r="AA75" s="21"/>
      <c r="AB75" s="21"/>
      <c r="AC75" s="21" t="s">
        <v>105</v>
      </c>
      <c r="AD75" s="21"/>
      <c r="AE75" s="21"/>
      <c r="AF75" s="21"/>
      <c r="AG75" s="21"/>
      <c r="AH75" s="21"/>
      <c r="AI75" s="21"/>
      <c r="AJ75" s="21"/>
      <c r="AK75" s="21"/>
      <c r="AL75" s="21" t="s">
        <v>106</v>
      </c>
      <c r="AM75" s="21"/>
      <c r="AN75" s="21"/>
      <c r="AO75" s="21"/>
      <c r="AP75" s="21"/>
      <c r="AQ75" s="21"/>
      <c r="AR75" s="21"/>
    </row>
    <row r="76" spans="1:44" s="14" customFormat="1" ht="18.75" customHeight="1">
      <c r="A76" s="26"/>
      <c r="B76" s="21"/>
      <c r="C76" s="21"/>
      <c r="D76" s="21"/>
      <c r="E76" s="21"/>
      <c r="F76" s="21"/>
      <c r="G76" s="21"/>
      <c r="H76" s="26"/>
      <c r="I76" s="21"/>
      <c r="J76" s="21"/>
      <c r="K76" s="21"/>
      <c r="L76" s="21"/>
      <c r="M76" s="21"/>
      <c r="N76" s="21"/>
      <c r="O76" s="21"/>
      <c r="P76" s="21"/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G76" s="21"/>
      <c r="AH76" s="21"/>
      <c r="AI76" s="21"/>
      <c r="AJ76" s="21"/>
      <c r="AK76" s="21"/>
      <c r="AL76" s="21"/>
      <c r="AM76" s="21"/>
      <c r="AN76" s="21"/>
      <c r="AO76" s="21"/>
      <c r="AP76" s="21"/>
      <c r="AQ76" s="21"/>
      <c r="AR76" s="21"/>
    </row>
  </sheetData>
  <mergeCells count="1031">
    <mergeCell ref="J3:T3"/>
    <mergeCell ref="U3:Z3"/>
    <mergeCell ref="AA3:AF3"/>
    <mergeCell ref="AT12:AU12"/>
    <mergeCell ref="C9:L10"/>
    <mergeCell ref="M9:M10"/>
    <mergeCell ref="N9:Y9"/>
    <mergeCell ref="Z9:AA10"/>
    <mergeCell ref="AB9:AD10"/>
    <mergeCell ref="AG5:AK5"/>
    <mergeCell ref="AL5:AR5"/>
    <mergeCell ref="A7:C7"/>
    <mergeCell ref="D7:H7"/>
    <mergeCell ref="I7:K7"/>
    <mergeCell ref="L7:Q7"/>
    <mergeCell ref="R7:T7"/>
    <mergeCell ref="U7:AC7"/>
    <mergeCell ref="AD7:AH7"/>
    <mergeCell ref="AI7:AR7"/>
    <mergeCell ref="AG3:AK3"/>
    <mergeCell ref="AL3:AR3"/>
    <mergeCell ref="A5:C5"/>
    <mergeCell ref="D5:J5"/>
    <mergeCell ref="K5:M5"/>
    <mergeCell ref="N5:P5"/>
    <mergeCell ref="Q5:R5"/>
    <mergeCell ref="S5:V5"/>
    <mergeCell ref="W5:Y5"/>
    <mergeCell ref="Z5:AF5"/>
    <mergeCell ref="A1:E3"/>
    <mergeCell ref="F1:W1"/>
    <mergeCell ref="X1:Z1"/>
    <mergeCell ref="AA1:AF1"/>
    <mergeCell ref="AG1:AK1"/>
    <mergeCell ref="AL1:AR1"/>
    <mergeCell ref="F3:I3"/>
    <mergeCell ref="A12:B12"/>
    <mergeCell ref="C12:L12"/>
    <mergeCell ref="N12:O12"/>
    <mergeCell ref="P12:Q12"/>
    <mergeCell ref="R12:S12"/>
    <mergeCell ref="V11:W11"/>
    <mergeCell ref="X11:Y11"/>
    <mergeCell ref="Z11:AA11"/>
    <mergeCell ref="AB11:AD11"/>
    <mergeCell ref="AE11:AF11"/>
    <mergeCell ref="AG11:AH11"/>
    <mergeCell ref="AK10:AL10"/>
    <mergeCell ref="AM10:AN10"/>
    <mergeCell ref="AO10:AP10"/>
    <mergeCell ref="AQ10:AR10"/>
    <mergeCell ref="A11:B11"/>
    <mergeCell ref="C11:L11"/>
    <mergeCell ref="N11:O11"/>
    <mergeCell ref="P11:Q11"/>
    <mergeCell ref="R11:S11"/>
    <mergeCell ref="T11:U11"/>
    <mergeCell ref="AE9:AF10"/>
    <mergeCell ref="AG9:AR9"/>
    <mergeCell ref="N10:O10"/>
    <mergeCell ref="P10:Q10"/>
    <mergeCell ref="R10:S10"/>
    <mergeCell ref="T10:U10"/>
    <mergeCell ref="V10:W10"/>
    <mergeCell ref="X10:Y10"/>
    <mergeCell ref="AG10:AH10"/>
    <mergeCell ref="AI10:AJ10"/>
    <mergeCell ref="A9:B10"/>
    <mergeCell ref="AG12:AH12"/>
    <mergeCell ref="AI12:AJ12"/>
    <mergeCell ref="AK12:AL12"/>
    <mergeCell ref="AM12:AN12"/>
    <mergeCell ref="AO12:AP12"/>
    <mergeCell ref="AQ12:AR12"/>
    <mergeCell ref="T12:U12"/>
    <mergeCell ref="V12:W12"/>
    <mergeCell ref="X12:Y12"/>
    <mergeCell ref="Z12:AA12"/>
    <mergeCell ref="AB12:AD12"/>
    <mergeCell ref="AE12:AF12"/>
    <mergeCell ref="AI11:AJ11"/>
    <mergeCell ref="AK11:AL11"/>
    <mergeCell ref="AM11:AN11"/>
    <mergeCell ref="AO11:AP11"/>
    <mergeCell ref="AQ11:AR11"/>
    <mergeCell ref="A14:B14"/>
    <mergeCell ref="C14:L14"/>
    <mergeCell ref="N14:O14"/>
    <mergeCell ref="P14:Q14"/>
    <mergeCell ref="R14:S14"/>
    <mergeCell ref="V13:W13"/>
    <mergeCell ref="X13:Y13"/>
    <mergeCell ref="Z13:AA13"/>
    <mergeCell ref="AB13:AD13"/>
    <mergeCell ref="AE13:AF13"/>
    <mergeCell ref="AG13:AH13"/>
    <mergeCell ref="A13:B13"/>
    <mergeCell ref="C13:L13"/>
    <mergeCell ref="N13:O13"/>
    <mergeCell ref="P13:Q13"/>
    <mergeCell ref="R13:S13"/>
    <mergeCell ref="T13:U13"/>
    <mergeCell ref="AG14:AH14"/>
    <mergeCell ref="AI14:AJ14"/>
    <mergeCell ref="AK14:AL14"/>
    <mergeCell ref="AM14:AN14"/>
    <mergeCell ref="AO14:AP14"/>
    <mergeCell ref="AQ14:AR14"/>
    <mergeCell ref="T14:U14"/>
    <mergeCell ref="V14:W14"/>
    <mergeCell ref="X14:Y14"/>
    <mergeCell ref="Z14:AA14"/>
    <mergeCell ref="AB14:AD14"/>
    <mergeCell ref="AE14:AF14"/>
    <mergeCell ref="AI13:AJ13"/>
    <mergeCell ref="AK13:AL13"/>
    <mergeCell ref="AM13:AN13"/>
    <mergeCell ref="AO13:AP13"/>
    <mergeCell ref="AQ13:AR13"/>
    <mergeCell ref="A16:B16"/>
    <mergeCell ref="C16:L16"/>
    <mergeCell ref="N16:O16"/>
    <mergeCell ref="P16:Q16"/>
    <mergeCell ref="R16:S16"/>
    <mergeCell ref="V15:W15"/>
    <mergeCell ref="X15:Y15"/>
    <mergeCell ref="Z15:AA15"/>
    <mergeCell ref="AB15:AD15"/>
    <mergeCell ref="AE15:AF15"/>
    <mergeCell ref="AG15:AH15"/>
    <mergeCell ref="A15:B15"/>
    <mergeCell ref="C15:L15"/>
    <mergeCell ref="N15:O15"/>
    <mergeCell ref="P15:Q15"/>
    <mergeCell ref="R15:S15"/>
    <mergeCell ref="T15:U15"/>
    <mergeCell ref="AG16:AH16"/>
    <mergeCell ref="AI16:AJ16"/>
    <mergeCell ref="AK16:AL16"/>
    <mergeCell ref="AM16:AN16"/>
    <mergeCell ref="AO16:AP16"/>
    <mergeCell ref="AQ16:AR16"/>
    <mergeCell ref="T16:U16"/>
    <mergeCell ref="V16:W16"/>
    <mergeCell ref="X16:Y16"/>
    <mergeCell ref="Z16:AA16"/>
    <mergeCell ref="AB16:AD16"/>
    <mergeCell ref="AE16:AF16"/>
    <mergeCell ref="AI15:AJ15"/>
    <mergeCell ref="AK15:AL15"/>
    <mergeCell ref="AM15:AN15"/>
    <mergeCell ref="AO15:AP15"/>
    <mergeCell ref="AQ15:AR15"/>
    <mergeCell ref="A18:B18"/>
    <mergeCell ref="C18:L18"/>
    <mergeCell ref="N18:O18"/>
    <mergeCell ref="P18:Q18"/>
    <mergeCell ref="R18:S18"/>
    <mergeCell ref="V17:W17"/>
    <mergeCell ref="X17:Y17"/>
    <mergeCell ref="Z17:AA17"/>
    <mergeCell ref="AB17:AD17"/>
    <mergeCell ref="AE17:AF17"/>
    <mergeCell ref="AG17:AH17"/>
    <mergeCell ref="A17:B17"/>
    <mergeCell ref="C17:L17"/>
    <mergeCell ref="N17:O17"/>
    <mergeCell ref="P17:Q17"/>
    <mergeCell ref="R17:S17"/>
    <mergeCell ref="T17:U17"/>
    <mergeCell ref="AG18:AH18"/>
    <mergeCell ref="AI18:AJ18"/>
    <mergeCell ref="AK18:AL18"/>
    <mergeCell ref="AM18:AN18"/>
    <mergeCell ref="AO18:AP18"/>
    <mergeCell ref="AQ18:AR18"/>
    <mergeCell ref="T18:U18"/>
    <mergeCell ref="V18:W18"/>
    <mergeCell ref="X18:Y18"/>
    <mergeCell ref="Z18:AA18"/>
    <mergeCell ref="AB18:AD18"/>
    <mergeCell ref="AE18:AF18"/>
    <mergeCell ref="AI17:AJ17"/>
    <mergeCell ref="AK17:AL17"/>
    <mergeCell ref="AM17:AN17"/>
    <mergeCell ref="AO17:AP17"/>
    <mergeCell ref="AQ17:AR17"/>
    <mergeCell ref="A20:B20"/>
    <mergeCell ref="C20:L20"/>
    <mergeCell ref="N20:O20"/>
    <mergeCell ref="P20:Q20"/>
    <mergeCell ref="R20:S20"/>
    <mergeCell ref="V19:W19"/>
    <mergeCell ref="X19:Y19"/>
    <mergeCell ref="Z19:AA19"/>
    <mergeCell ref="AB19:AD19"/>
    <mergeCell ref="AE19:AF19"/>
    <mergeCell ref="AG19:AH19"/>
    <mergeCell ref="A19:B19"/>
    <mergeCell ref="C19:L19"/>
    <mergeCell ref="N19:O19"/>
    <mergeCell ref="P19:Q19"/>
    <mergeCell ref="R19:S19"/>
    <mergeCell ref="T19:U19"/>
    <mergeCell ref="AG20:AH20"/>
    <mergeCell ref="AI20:AJ20"/>
    <mergeCell ref="AK20:AL20"/>
    <mergeCell ref="AM20:AN20"/>
    <mergeCell ref="AO20:AP20"/>
    <mergeCell ref="AQ20:AR20"/>
    <mergeCell ref="T20:U20"/>
    <mergeCell ref="V20:W20"/>
    <mergeCell ref="X20:Y20"/>
    <mergeCell ref="Z20:AA20"/>
    <mergeCell ref="AB20:AD20"/>
    <mergeCell ref="AE20:AF20"/>
    <mergeCell ref="AI19:AJ19"/>
    <mergeCell ref="AK19:AL19"/>
    <mergeCell ref="AM19:AN19"/>
    <mergeCell ref="AO19:AP19"/>
    <mergeCell ref="AQ19:AR19"/>
    <mergeCell ref="A22:B22"/>
    <mergeCell ref="C22:L22"/>
    <mergeCell ref="N22:O22"/>
    <mergeCell ref="P22:Q22"/>
    <mergeCell ref="R22:S22"/>
    <mergeCell ref="V21:W21"/>
    <mergeCell ref="X21:Y21"/>
    <mergeCell ref="Z21:AA21"/>
    <mergeCell ref="AB21:AD21"/>
    <mergeCell ref="AE21:AF21"/>
    <mergeCell ref="AG21:AH21"/>
    <mergeCell ref="A21:B21"/>
    <mergeCell ref="C21:L21"/>
    <mergeCell ref="N21:O21"/>
    <mergeCell ref="P21:Q21"/>
    <mergeCell ref="R21:S21"/>
    <mergeCell ref="T21:U21"/>
    <mergeCell ref="AG22:AH22"/>
    <mergeCell ref="AI22:AJ22"/>
    <mergeCell ref="AK22:AL22"/>
    <mergeCell ref="AM22:AN22"/>
    <mergeCell ref="AO22:AP22"/>
    <mergeCell ref="AQ22:AR22"/>
    <mergeCell ref="T22:U22"/>
    <mergeCell ref="V22:W22"/>
    <mergeCell ref="X22:Y22"/>
    <mergeCell ref="Z22:AA22"/>
    <mergeCell ref="AB22:AD22"/>
    <mergeCell ref="AE22:AF22"/>
    <mergeCell ref="AI21:AJ21"/>
    <mergeCell ref="AK21:AL21"/>
    <mergeCell ref="AM21:AN21"/>
    <mergeCell ref="AO21:AP21"/>
    <mergeCell ref="AQ21:AR21"/>
    <mergeCell ref="A24:B24"/>
    <mergeCell ref="C24:L24"/>
    <mergeCell ref="N24:O24"/>
    <mergeCell ref="P24:Q24"/>
    <mergeCell ref="R24:S24"/>
    <mergeCell ref="V23:W23"/>
    <mergeCell ref="X23:Y23"/>
    <mergeCell ref="Z23:AA23"/>
    <mergeCell ref="AB23:AD23"/>
    <mergeCell ref="AE23:AF23"/>
    <mergeCell ref="AG23:AH23"/>
    <mergeCell ref="A23:B23"/>
    <mergeCell ref="C23:L23"/>
    <mergeCell ref="N23:O23"/>
    <mergeCell ref="P23:Q23"/>
    <mergeCell ref="R23:S23"/>
    <mergeCell ref="T23:U23"/>
    <mergeCell ref="AG24:AH24"/>
    <mergeCell ref="AI24:AJ24"/>
    <mergeCell ref="AK24:AL24"/>
    <mergeCell ref="AM24:AN24"/>
    <mergeCell ref="AO24:AP24"/>
    <mergeCell ref="AQ24:AR24"/>
    <mergeCell ref="T24:U24"/>
    <mergeCell ref="V24:W24"/>
    <mergeCell ref="X24:Y24"/>
    <mergeCell ref="Z24:AA24"/>
    <mergeCell ref="AB24:AD24"/>
    <mergeCell ref="AE24:AF24"/>
    <mergeCell ref="AI23:AJ23"/>
    <mergeCell ref="AK23:AL23"/>
    <mergeCell ref="AM23:AN23"/>
    <mergeCell ref="AO23:AP23"/>
    <mergeCell ref="AQ23:AR23"/>
    <mergeCell ref="A26:B26"/>
    <mergeCell ref="C26:L26"/>
    <mergeCell ref="N26:O26"/>
    <mergeCell ref="P26:Q26"/>
    <mergeCell ref="R26:S26"/>
    <mergeCell ref="V25:W25"/>
    <mergeCell ref="X25:Y25"/>
    <mergeCell ref="Z25:AA25"/>
    <mergeCell ref="AB25:AD25"/>
    <mergeCell ref="AE25:AF25"/>
    <mergeCell ref="AG25:AH25"/>
    <mergeCell ref="A25:B25"/>
    <mergeCell ref="C25:L25"/>
    <mergeCell ref="N25:O25"/>
    <mergeCell ref="P25:Q25"/>
    <mergeCell ref="R25:S25"/>
    <mergeCell ref="T25:U25"/>
    <mergeCell ref="AG26:AH26"/>
    <mergeCell ref="AI26:AJ26"/>
    <mergeCell ref="AK26:AL26"/>
    <mergeCell ref="AM26:AN26"/>
    <mergeCell ref="AO26:AP26"/>
    <mergeCell ref="AQ26:AR26"/>
    <mergeCell ref="T26:U26"/>
    <mergeCell ref="V26:W26"/>
    <mergeCell ref="X26:Y26"/>
    <mergeCell ref="Z26:AA26"/>
    <mergeCell ref="AB26:AD26"/>
    <mergeCell ref="AE26:AF26"/>
    <mergeCell ref="AI25:AJ25"/>
    <mergeCell ref="AK25:AL25"/>
    <mergeCell ref="AM25:AN25"/>
    <mergeCell ref="AO25:AP25"/>
    <mergeCell ref="AQ25:AR25"/>
    <mergeCell ref="A28:B28"/>
    <mergeCell ref="C28:L28"/>
    <mergeCell ref="N28:O28"/>
    <mergeCell ref="P28:Q28"/>
    <mergeCell ref="R28:S28"/>
    <mergeCell ref="V27:W27"/>
    <mergeCell ref="X27:Y27"/>
    <mergeCell ref="Z27:AA27"/>
    <mergeCell ref="AB27:AD27"/>
    <mergeCell ref="AE27:AF27"/>
    <mergeCell ref="AG27:AH27"/>
    <mergeCell ref="A27:B27"/>
    <mergeCell ref="C27:L27"/>
    <mergeCell ref="N27:O27"/>
    <mergeCell ref="P27:Q27"/>
    <mergeCell ref="R27:S27"/>
    <mergeCell ref="T27:U27"/>
    <mergeCell ref="AG28:AH28"/>
    <mergeCell ref="AI28:AJ28"/>
    <mergeCell ref="AK28:AL28"/>
    <mergeCell ref="AM28:AN28"/>
    <mergeCell ref="AO28:AP28"/>
    <mergeCell ref="AQ28:AR28"/>
    <mergeCell ref="T28:U28"/>
    <mergeCell ref="V28:W28"/>
    <mergeCell ref="X28:Y28"/>
    <mergeCell ref="Z28:AA28"/>
    <mergeCell ref="AB28:AD28"/>
    <mergeCell ref="AE28:AF28"/>
    <mergeCell ref="AI27:AJ27"/>
    <mergeCell ref="AK27:AL27"/>
    <mergeCell ref="AM27:AN27"/>
    <mergeCell ref="AO27:AP27"/>
    <mergeCell ref="AQ27:AR27"/>
    <mergeCell ref="A30:B30"/>
    <mergeCell ref="C30:L30"/>
    <mergeCell ref="N30:O30"/>
    <mergeCell ref="P30:Q30"/>
    <mergeCell ref="R30:S30"/>
    <mergeCell ref="V29:W29"/>
    <mergeCell ref="X29:Y29"/>
    <mergeCell ref="Z29:AA29"/>
    <mergeCell ref="AB29:AD29"/>
    <mergeCell ref="AE29:AF29"/>
    <mergeCell ref="AG29:AH29"/>
    <mergeCell ref="A29:B29"/>
    <mergeCell ref="C29:L29"/>
    <mergeCell ref="N29:O29"/>
    <mergeCell ref="P29:Q29"/>
    <mergeCell ref="R29:S29"/>
    <mergeCell ref="T29:U29"/>
    <mergeCell ref="AG30:AH30"/>
    <mergeCell ref="AI30:AJ30"/>
    <mergeCell ref="AK30:AL30"/>
    <mergeCell ref="AM30:AN30"/>
    <mergeCell ref="AO30:AP30"/>
    <mergeCell ref="AQ30:AR30"/>
    <mergeCell ref="T30:U30"/>
    <mergeCell ref="V30:W30"/>
    <mergeCell ref="X30:Y30"/>
    <mergeCell ref="Z30:AA30"/>
    <mergeCell ref="AB30:AD30"/>
    <mergeCell ref="AE30:AF30"/>
    <mergeCell ref="AI29:AJ29"/>
    <mergeCell ref="AK29:AL29"/>
    <mergeCell ref="AM29:AN29"/>
    <mergeCell ref="AO29:AP29"/>
    <mergeCell ref="AQ29:AR29"/>
    <mergeCell ref="A32:B32"/>
    <mergeCell ref="C32:L32"/>
    <mergeCell ref="N32:O32"/>
    <mergeCell ref="P32:Q32"/>
    <mergeCell ref="R32:S32"/>
    <mergeCell ref="V31:W31"/>
    <mergeCell ref="X31:Y31"/>
    <mergeCell ref="Z31:AA31"/>
    <mergeCell ref="AB31:AD31"/>
    <mergeCell ref="AE31:AF31"/>
    <mergeCell ref="AG31:AH31"/>
    <mergeCell ref="A31:B31"/>
    <mergeCell ref="C31:L31"/>
    <mergeCell ref="N31:O31"/>
    <mergeCell ref="P31:Q31"/>
    <mergeCell ref="R31:S31"/>
    <mergeCell ref="T31:U31"/>
    <mergeCell ref="AG32:AH32"/>
    <mergeCell ref="AI32:AJ32"/>
    <mergeCell ref="AK32:AL32"/>
    <mergeCell ref="AM32:AN32"/>
    <mergeCell ref="AO32:AP32"/>
    <mergeCell ref="AQ32:AR32"/>
    <mergeCell ref="T32:U32"/>
    <mergeCell ref="V32:W32"/>
    <mergeCell ref="X32:Y32"/>
    <mergeCell ref="Z32:AA32"/>
    <mergeCell ref="AB32:AD32"/>
    <mergeCell ref="AE32:AF32"/>
    <mergeCell ref="AI31:AJ31"/>
    <mergeCell ref="AK31:AL31"/>
    <mergeCell ref="AM31:AN31"/>
    <mergeCell ref="AO31:AP31"/>
    <mergeCell ref="AQ31:AR31"/>
    <mergeCell ref="A34:B34"/>
    <mergeCell ref="C34:L34"/>
    <mergeCell ref="N34:O34"/>
    <mergeCell ref="P34:Q34"/>
    <mergeCell ref="R34:S34"/>
    <mergeCell ref="V33:W33"/>
    <mergeCell ref="X33:Y33"/>
    <mergeCell ref="Z33:AA33"/>
    <mergeCell ref="AB33:AD33"/>
    <mergeCell ref="AE33:AF33"/>
    <mergeCell ref="AG33:AH33"/>
    <mergeCell ref="A33:B33"/>
    <mergeCell ref="C33:L33"/>
    <mergeCell ref="N33:O33"/>
    <mergeCell ref="P33:Q33"/>
    <mergeCell ref="R33:S33"/>
    <mergeCell ref="T33:U33"/>
    <mergeCell ref="AG34:AH34"/>
    <mergeCell ref="AI34:AJ34"/>
    <mergeCell ref="AK34:AL34"/>
    <mergeCell ref="AM34:AN34"/>
    <mergeCell ref="AO34:AP34"/>
    <mergeCell ref="AQ34:AR34"/>
    <mergeCell ref="T34:U34"/>
    <mergeCell ref="V34:W34"/>
    <mergeCell ref="X34:Y34"/>
    <mergeCell ref="Z34:AA34"/>
    <mergeCell ref="AB34:AD34"/>
    <mergeCell ref="AE34:AF34"/>
    <mergeCell ref="AI33:AJ33"/>
    <mergeCell ref="AK33:AL33"/>
    <mergeCell ref="AM33:AN33"/>
    <mergeCell ref="AO33:AP33"/>
    <mergeCell ref="AQ33:AR33"/>
    <mergeCell ref="AI35:AJ35"/>
    <mergeCell ref="AK35:AL35"/>
    <mergeCell ref="AM35:AN35"/>
    <mergeCell ref="A36:B36"/>
    <mergeCell ref="C36:L36"/>
    <mergeCell ref="N36:O36"/>
    <mergeCell ref="P36:Q36"/>
    <mergeCell ref="R36:S36"/>
    <mergeCell ref="T36:U36"/>
    <mergeCell ref="V36:W36"/>
    <mergeCell ref="V35:W35"/>
    <mergeCell ref="X35:Y35"/>
    <mergeCell ref="Z35:AA35"/>
    <mergeCell ref="AB35:AD35"/>
    <mergeCell ref="AE35:AF35"/>
    <mergeCell ref="AG35:AH35"/>
    <mergeCell ref="A35:B35"/>
    <mergeCell ref="C35:L35"/>
    <mergeCell ref="N35:O35"/>
    <mergeCell ref="P35:Q35"/>
    <mergeCell ref="R35:S35"/>
    <mergeCell ref="T35:U35"/>
    <mergeCell ref="A38:B38"/>
    <mergeCell ref="C38:L38"/>
    <mergeCell ref="N38:O38"/>
    <mergeCell ref="P38:Q38"/>
    <mergeCell ref="R38:S38"/>
    <mergeCell ref="V37:W37"/>
    <mergeCell ref="X37:Y37"/>
    <mergeCell ref="Z37:AA37"/>
    <mergeCell ref="AB37:AD37"/>
    <mergeCell ref="AE37:AF37"/>
    <mergeCell ref="AG37:AH37"/>
    <mergeCell ref="AK36:AL36"/>
    <mergeCell ref="AM36:AN36"/>
    <mergeCell ref="AO36:AP36"/>
    <mergeCell ref="AQ36:AR36"/>
    <mergeCell ref="A37:B37"/>
    <mergeCell ref="C37:L37"/>
    <mergeCell ref="N37:O37"/>
    <mergeCell ref="P37:Q37"/>
    <mergeCell ref="R37:S37"/>
    <mergeCell ref="T37:U37"/>
    <mergeCell ref="X36:Y36"/>
    <mergeCell ref="Z36:AA36"/>
    <mergeCell ref="AB36:AD36"/>
    <mergeCell ref="AE36:AF36"/>
    <mergeCell ref="AG36:AH36"/>
    <mergeCell ref="AI36:AJ36"/>
    <mergeCell ref="AG38:AH38"/>
    <mergeCell ref="AI38:AJ38"/>
    <mergeCell ref="AK38:AL38"/>
    <mergeCell ref="AM38:AN38"/>
    <mergeCell ref="AO38:AP38"/>
    <mergeCell ref="AQ38:AR38"/>
    <mergeCell ref="T38:U38"/>
    <mergeCell ref="V38:W38"/>
    <mergeCell ref="X38:Y38"/>
    <mergeCell ref="Z38:AA38"/>
    <mergeCell ref="AB38:AD38"/>
    <mergeCell ref="AE38:AF38"/>
    <mergeCell ref="AI37:AJ37"/>
    <mergeCell ref="AK37:AL37"/>
    <mergeCell ref="AM37:AN37"/>
    <mergeCell ref="AO37:AP37"/>
    <mergeCell ref="AQ37:AR37"/>
    <mergeCell ref="A40:B40"/>
    <mergeCell ref="C40:L40"/>
    <mergeCell ref="N40:O40"/>
    <mergeCell ref="P40:Q40"/>
    <mergeCell ref="R40:S40"/>
    <mergeCell ref="V39:W39"/>
    <mergeCell ref="X39:Y39"/>
    <mergeCell ref="Z39:AA39"/>
    <mergeCell ref="AB39:AD39"/>
    <mergeCell ref="AE39:AF39"/>
    <mergeCell ref="AG39:AH39"/>
    <mergeCell ref="A39:B39"/>
    <mergeCell ref="C39:L39"/>
    <mergeCell ref="N39:O39"/>
    <mergeCell ref="P39:Q39"/>
    <mergeCell ref="R39:S39"/>
    <mergeCell ref="T39:U39"/>
    <mergeCell ref="AG40:AH40"/>
    <mergeCell ref="AI40:AJ40"/>
    <mergeCell ref="AK40:AL40"/>
    <mergeCell ref="AM40:AN40"/>
    <mergeCell ref="AO40:AP40"/>
    <mergeCell ref="AQ40:AR40"/>
    <mergeCell ref="T40:U40"/>
    <mergeCell ref="V40:W40"/>
    <mergeCell ref="X40:Y40"/>
    <mergeCell ref="Z40:AA40"/>
    <mergeCell ref="AB40:AD40"/>
    <mergeCell ref="AE40:AF40"/>
    <mergeCell ref="AI39:AJ39"/>
    <mergeCell ref="AK39:AL39"/>
    <mergeCell ref="AM39:AN39"/>
    <mergeCell ref="AO39:AP39"/>
    <mergeCell ref="AQ39:AR39"/>
    <mergeCell ref="A42:B42"/>
    <mergeCell ref="C42:L42"/>
    <mergeCell ref="N42:O42"/>
    <mergeCell ref="P42:Q42"/>
    <mergeCell ref="R42:S42"/>
    <mergeCell ref="V41:W41"/>
    <mergeCell ref="X41:Y41"/>
    <mergeCell ref="Z41:AA41"/>
    <mergeCell ref="AB41:AD41"/>
    <mergeCell ref="AE41:AF41"/>
    <mergeCell ref="AG41:AH41"/>
    <mergeCell ref="A41:B41"/>
    <mergeCell ref="C41:L41"/>
    <mergeCell ref="N41:O41"/>
    <mergeCell ref="P41:Q41"/>
    <mergeCell ref="R41:S41"/>
    <mergeCell ref="T41:U41"/>
    <mergeCell ref="AG42:AH42"/>
    <mergeCell ref="AI42:AJ42"/>
    <mergeCell ref="AK42:AL42"/>
    <mergeCell ref="AM42:AN42"/>
    <mergeCell ref="AO42:AP42"/>
    <mergeCell ref="AQ42:AR42"/>
    <mergeCell ref="T42:U42"/>
    <mergeCell ref="V42:W42"/>
    <mergeCell ref="X42:Y42"/>
    <mergeCell ref="Z42:AA42"/>
    <mergeCell ref="AB42:AD42"/>
    <mergeCell ref="AE42:AF42"/>
    <mergeCell ref="AI41:AJ41"/>
    <mergeCell ref="AK41:AL41"/>
    <mergeCell ref="AM41:AN41"/>
    <mergeCell ref="AO41:AP41"/>
    <mergeCell ref="AQ41:AR41"/>
    <mergeCell ref="A44:B44"/>
    <mergeCell ref="C44:L44"/>
    <mergeCell ref="N44:O44"/>
    <mergeCell ref="P44:Q44"/>
    <mergeCell ref="R44:S44"/>
    <mergeCell ref="V43:W43"/>
    <mergeCell ref="X43:Y43"/>
    <mergeCell ref="Z43:AA43"/>
    <mergeCell ref="AB43:AD43"/>
    <mergeCell ref="AE43:AF43"/>
    <mergeCell ref="AG43:AH43"/>
    <mergeCell ref="A43:B43"/>
    <mergeCell ref="C43:L43"/>
    <mergeCell ref="N43:O43"/>
    <mergeCell ref="P43:Q43"/>
    <mergeCell ref="R43:S43"/>
    <mergeCell ref="T43:U43"/>
    <mergeCell ref="AG44:AH44"/>
    <mergeCell ref="AI44:AJ44"/>
    <mergeCell ref="AK44:AL44"/>
    <mergeCell ref="AM44:AN44"/>
    <mergeCell ref="AO44:AP44"/>
    <mergeCell ref="AQ44:AR44"/>
    <mergeCell ref="T44:U44"/>
    <mergeCell ref="V44:W44"/>
    <mergeCell ref="X44:Y44"/>
    <mergeCell ref="Z44:AA44"/>
    <mergeCell ref="AB44:AD44"/>
    <mergeCell ref="AE44:AF44"/>
    <mergeCell ref="AI43:AJ43"/>
    <mergeCell ref="AK43:AL43"/>
    <mergeCell ref="AM43:AN43"/>
    <mergeCell ref="AO43:AP43"/>
    <mergeCell ref="AQ43:AR43"/>
    <mergeCell ref="A46:B46"/>
    <mergeCell ref="C46:L46"/>
    <mergeCell ref="N46:O46"/>
    <mergeCell ref="P46:Q46"/>
    <mergeCell ref="R46:S46"/>
    <mergeCell ref="V45:W45"/>
    <mergeCell ref="X45:Y45"/>
    <mergeCell ref="Z45:AA45"/>
    <mergeCell ref="AB45:AD45"/>
    <mergeCell ref="AE45:AF45"/>
    <mergeCell ref="AG45:AH45"/>
    <mergeCell ref="A45:B45"/>
    <mergeCell ref="C45:L45"/>
    <mergeCell ref="N45:O45"/>
    <mergeCell ref="P45:Q45"/>
    <mergeCell ref="R45:S45"/>
    <mergeCell ref="T45:U45"/>
    <mergeCell ref="AG46:AH46"/>
    <mergeCell ref="AI46:AJ46"/>
    <mergeCell ref="AK46:AL46"/>
    <mergeCell ref="AM46:AN46"/>
    <mergeCell ref="AO46:AP46"/>
    <mergeCell ref="AQ46:AR46"/>
    <mergeCell ref="T46:U46"/>
    <mergeCell ref="V46:W46"/>
    <mergeCell ref="X46:Y46"/>
    <mergeCell ref="Z46:AA46"/>
    <mergeCell ref="AB46:AD46"/>
    <mergeCell ref="AE46:AF46"/>
    <mergeCell ref="AI45:AJ45"/>
    <mergeCell ref="AK45:AL45"/>
    <mergeCell ref="AM45:AN45"/>
    <mergeCell ref="AO45:AP45"/>
    <mergeCell ref="AQ45:AR45"/>
    <mergeCell ref="A48:B48"/>
    <mergeCell ref="C48:L48"/>
    <mergeCell ref="N48:O48"/>
    <mergeCell ref="P48:Q48"/>
    <mergeCell ref="R48:S48"/>
    <mergeCell ref="V47:W47"/>
    <mergeCell ref="X47:Y47"/>
    <mergeCell ref="Z47:AA47"/>
    <mergeCell ref="AB47:AD47"/>
    <mergeCell ref="AE47:AF47"/>
    <mergeCell ref="AG47:AH47"/>
    <mergeCell ref="A47:B47"/>
    <mergeCell ref="C47:L47"/>
    <mergeCell ref="N47:O47"/>
    <mergeCell ref="P47:Q47"/>
    <mergeCell ref="R47:S47"/>
    <mergeCell ref="T47:U47"/>
    <mergeCell ref="AG48:AH48"/>
    <mergeCell ref="AI48:AJ48"/>
    <mergeCell ref="AK48:AL48"/>
    <mergeCell ref="AM48:AN48"/>
    <mergeCell ref="AO48:AP48"/>
    <mergeCell ref="AQ48:AR48"/>
    <mergeCell ref="T48:U48"/>
    <mergeCell ref="V48:W48"/>
    <mergeCell ref="X48:Y48"/>
    <mergeCell ref="Z48:AA48"/>
    <mergeCell ref="AB48:AD48"/>
    <mergeCell ref="AE48:AF48"/>
    <mergeCell ref="AI47:AJ47"/>
    <mergeCell ref="AK47:AL47"/>
    <mergeCell ref="AM47:AN47"/>
    <mergeCell ref="AO47:AP47"/>
    <mergeCell ref="AQ47:AR47"/>
    <mergeCell ref="A50:B50"/>
    <mergeCell ref="C50:L50"/>
    <mergeCell ref="N50:O50"/>
    <mergeCell ref="P50:Q50"/>
    <mergeCell ref="R50:S50"/>
    <mergeCell ref="V49:W49"/>
    <mergeCell ref="X49:Y49"/>
    <mergeCell ref="Z49:AA49"/>
    <mergeCell ref="AB49:AD49"/>
    <mergeCell ref="AE49:AF49"/>
    <mergeCell ref="AG49:AH49"/>
    <mergeCell ref="A49:B49"/>
    <mergeCell ref="C49:L49"/>
    <mergeCell ref="N49:O49"/>
    <mergeCell ref="P49:Q49"/>
    <mergeCell ref="R49:S49"/>
    <mergeCell ref="T49:U49"/>
    <mergeCell ref="AG50:AH50"/>
    <mergeCell ref="AI50:AJ50"/>
    <mergeCell ref="AK50:AL50"/>
    <mergeCell ref="AM50:AN50"/>
    <mergeCell ref="AO50:AP50"/>
    <mergeCell ref="AQ50:AR50"/>
    <mergeCell ref="T50:U50"/>
    <mergeCell ref="V50:W50"/>
    <mergeCell ref="X50:Y50"/>
    <mergeCell ref="Z50:AA50"/>
    <mergeCell ref="AB50:AD50"/>
    <mergeCell ref="AE50:AF50"/>
    <mergeCell ref="AI49:AJ49"/>
    <mergeCell ref="AK49:AL49"/>
    <mergeCell ref="AM49:AN49"/>
    <mergeCell ref="AO49:AP49"/>
    <mergeCell ref="AQ49:AR49"/>
    <mergeCell ref="AI51:AJ51"/>
    <mergeCell ref="A52:B52"/>
    <mergeCell ref="C52:L52"/>
    <mergeCell ref="N52:O52"/>
    <mergeCell ref="P52:Q52"/>
    <mergeCell ref="R52:S52"/>
    <mergeCell ref="T52:U52"/>
    <mergeCell ref="V52:W52"/>
    <mergeCell ref="X52:Y52"/>
    <mergeCell ref="Z52:AA52"/>
    <mergeCell ref="V51:W51"/>
    <mergeCell ref="X51:Y51"/>
    <mergeCell ref="Z51:AA51"/>
    <mergeCell ref="AB51:AD51"/>
    <mergeCell ref="AE51:AF51"/>
    <mergeCell ref="AG51:AH51"/>
    <mergeCell ref="A51:B51"/>
    <mergeCell ref="C51:L51"/>
    <mergeCell ref="N51:O51"/>
    <mergeCell ref="P51:Q51"/>
    <mergeCell ref="R51:S51"/>
    <mergeCell ref="T51:U51"/>
    <mergeCell ref="AM53:AN53"/>
    <mergeCell ref="AO53:AP53"/>
    <mergeCell ref="AQ53:AR53"/>
    <mergeCell ref="A54:B54"/>
    <mergeCell ref="C54:L54"/>
    <mergeCell ref="N54:O54"/>
    <mergeCell ref="P54:Q54"/>
    <mergeCell ref="R54:S54"/>
    <mergeCell ref="T54:U54"/>
    <mergeCell ref="V54:W54"/>
    <mergeCell ref="Z53:AA53"/>
    <mergeCell ref="AB53:AD53"/>
    <mergeCell ref="AE53:AF53"/>
    <mergeCell ref="AG53:AH53"/>
    <mergeCell ref="AI53:AJ53"/>
    <mergeCell ref="AK53:AL53"/>
    <mergeCell ref="AO52:AP52"/>
    <mergeCell ref="AQ52:AR52"/>
    <mergeCell ref="A53:B53"/>
    <mergeCell ref="C53:L53"/>
    <mergeCell ref="N53:O53"/>
    <mergeCell ref="P53:Q53"/>
    <mergeCell ref="R53:S53"/>
    <mergeCell ref="T53:U53"/>
    <mergeCell ref="V53:W53"/>
    <mergeCell ref="X53:Y53"/>
    <mergeCell ref="AB52:AD52"/>
    <mergeCell ref="AE52:AF52"/>
    <mergeCell ref="AG52:AH52"/>
    <mergeCell ref="AI52:AJ52"/>
    <mergeCell ref="AK52:AL52"/>
    <mergeCell ref="AM52:AN52"/>
    <mergeCell ref="A56:B56"/>
    <mergeCell ref="C56:L56"/>
    <mergeCell ref="N56:O56"/>
    <mergeCell ref="P56:Q56"/>
    <mergeCell ref="R56:S56"/>
    <mergeCell ref="V55:W55"/>
    <mergeCell ref="X55:Y55"/>
    <mergeCell ref="Z55:AA55"/>
    <mergeCell ref="AB55:AD55"/>
    <mergeCell ref="AE55:AF55"/>
    <mergeCell ref="AG55:AH55"/>
    <mergeCell ref="AK54:AL54"/>
    <mergeCell ref="AM54:AN54"/>
    <mergeCell ref="AO54:AP54"/>
    <mergeCell ref="AQ54:AR54"/>
    <mergeCell ref="A55:B55"/>
    <mergeCell ref="C55:L55"/>
    <mergeCell ref="N55:O55"/>
    <mergeCell ref="P55:Q55"/>
    <mergeCell ref="R55:S55"/>
    <mergeCell ref="T55:U55"/>
    <mergeCell ref="X54:Y54"/>
    <mergeCell ref="Z54:AA54"/>
    <mergeCell ref="AB54:AD54"/>
    <mergeCell ref="AE54:AF54"/>
    <mergeCell ref="AG54:AH54"/>
    <mergeCell ref="AI54:AJ54"/>
    <mergeCell ref="AG56:AH56"/>
    <mergeCell ref="AI56:AJ56"/>
    <mergeCell ref="AK56:AL56"/>
    <mergeCell ref="AM56:AN56"/>
    <mergeCell ref="AO56:AP56"/>
    <mergeCell ref="AQ56:AR56"/>
    <mergeCell ref="T56:U56"/>
    <mergeCell ref="V56:W56"/>
    <mergeCell ref="X56:Y56"/>
    <mergeCell ref="Z56:AA56"/>
    <mergeCell ref="AB56:AD56"/>
    <mergeCell ref="AE56:AF56"/>
    <mergeCell ref="AI55:AJ55"/>
    <mergeCell ref="AK55:AL55"/>
    <mergeCell ref="AM55:AN55"/>
    <mergeCell ref="AO55:AP55"/>
    <mergeCell ref="AQ55:AR55"/>
    <mergeCell ref="A58:B58"/>
    <mergeCell ref="C58:L58"/>
    <mergeCell ref="N58:O58"/>
    <mergeCell ref="P58:Q58"/>
    <mergeCell ref="R58:S58"/>
    <mergeCell ref="V57:W57"/>
    <mergeCell ref="X57:Y57"/>
    <mergeCell ref="Z57:AA57"/>
    <mergeCell ref="AB57:AD57"/>
    <mergeCell ref="AE57:AF57"/>
    <mergeCell ref="AG57:AH57"/>
    <mergeCell ref="A57:B57"/>
    <mergeCell ref="C57:L57"/>
    <mergeCell ref="N57:O57"/>
    <mergeCell ref="P57:Q57"/>
    <mergeCell ref="R57:S57"/>
    <mergeCell ref="T57:U57"/>
    <mergeCell ref="AG58:AH58"/>
    <mergeCell ref="AI58:AJ58"/>
    <mergeCell ref="AK58:AL58"/>
    <mergeCell ref="AM58:AN58"/>
    <mergeCell ref="AO58:AP58"/>
    <mergeCell ref="AQ58:AR58"/>
    <mergeCell ref="T58:U58"/>
    <mergeCell ref="V58:W58"/>
    <mergeCell ref="X58:Y58"/>
    <mergeCell ref="Z58:AA58"/>
    <mergeCell ref="AB58:AD58"/>
    <mergeCell ref="AE58:AF58"/>
    <mergeCell ref="AI57:AJ57"/>
    <mergeCell ref="AK57:AL57"/>
    <mergeCell ref="AM57:AN57"/>
    <mergeCell ref="AO57:AP57"/>
    <mergeCell ref="AQ57:AR57"/>
    <mergeCell ref="A60:B60"/>
    <mergeCell ref="C60:L60"/>
    <mergeCell ref="N60:O60"/>
    <mergeCell ref="P60:Q60"/>
    <mergeCell ref="R60:S60"/>
    <mergeCell ref="V59:W59"/>
    <mergeCell ref="X59:Y59"/>
    <mergeCell ref="Z59:AA59"/>
    <mergeCell ref="AB59:AD59"/>
    <mergeCell ref="AE59:AF59"/>
    <mergeCell ref="AG59:AH59"/>
    <mergeCell ref="A59:B59"/>
    <mergeCell ref="C59:L59"/>
    <mergeCell ref="N59:O59"/>
    <mergeCell ref="P59:Q59"/>
    <mergeCell ref="R59:S59"/>
    <mergeCell ref="T59:U59"/>
    <mergeCell ref="AG60:AH60"/>
    <mergeCell ref="AI60:AJ60"/>
    <mergeCell ref="AK60:AL60"/>
    <mergeCell ref="AM60:AN60"/>
    <mergeCell ref="AO60:AP60"/>
    <mergeCell ref="AQ60:AR60"/>
    <mergeCell ref="T60:U60"/>
    <mergeCell ref="V60:W60"/>
    <mergeCell ref="X60:Y60"/>
    <mergeCell ref="Z60:AA60"/>
    <mergeCell ref="AB60:AD60"/>
    <mergeCell ref="AE60:AF60"/>
    <mergeCell ref="AI59:AJ59"/>
    <mergeCell ref="AK59:AL59"/>
    <mergeCell ref="AM59:AN59"/>
    <mergeCell ref="AO59:AP59"/>
    <mergeCell ref="AQ59:AR59"/>
    <mergeCell ref="A62:B62"/>
    <mergeCell ref="C62:L62"/>
    <mergeCell ref="N62:O62"/>
    <mergeCell ref="P62:Q62"/>
    <mergeCell ref="R62:S62"/>
    <mergeCell ref="V61:W61"/>
    <mergeCell ref="X61:Y61"/>
    <mergeCell ref="Z61:AA61"/>
    <mergeCell ref="AB61:AD61"/>
    <mergeCell ref="AE61:AF61"/>
    <mergeCell ref="AG61:AH61"/>
    <mergeCell ref="A61:B61"/>
    <mergeCell ref="C61:L61"/>
    <mergeCell ref="N61:O61"/>
    <mergeCell ref="P61:Q61"/>
    <mergeCell ref="R61:S61"/>
    <mergeCell ref="T61:U61"/>
    <mergeCell ref="AG62:AH62"/>
    <mergeCell ref="AI62:AJ62"/>
    <mergeCell ref="AK62:AL62"/>
    <mergeCell ref="AM62:AN62"/>
    <mergeCell ref="AO62:AP62"/>
    <mergeCell ref="AQ62:AR62"/>
    <mergeCell ref="T62:U62"/>
    <mergeCell ref="V62:W62"/>
    <mergeCell ref="X62:Y62"/>
    <mergeCell ref="Z62:AA62"/>
    <mergeCell ref="AB62:AD62"/>
    <mergeCell ref="AE62:AF62"/>
    <mergeCell ref="AI61:AJ61"/>
    <mergeCell ref="AK61:AL61"/>
    <mergeCell ref="AM61:AN61"/>
    <mergeCell ref="AO61:AP61"/>
    <mergeCell ref="AQ61:AR61"/>
    <mergeCell ref="AI63:AJ63"/>
    <mergeCell ref="AK63:AL63"/>
    <mergeCell ref="AM63:AN63"/>
    <mergeCell ref="AO63:AP63"/>
    <mergeCell ref="AQ63:AR63"/>
    <mergeCell ref="A64:L64"/>
    <mergeCell ref="Z64:AA64"/>
    <mergeCell ref="AB64:AD64"/>
    <mergeCell ref="AE64:AF64"/>
    <mergeCell ref="AI64:AL64"/>
    <mergeCell ref="V63:W63"/>
    <mergeCell ref="X63:Y63"/>
    <mergeCell ref="Z63:AA63"/>
    <mergeCell ref="AB63:AD63"/>
    <mergeCell ref="AE63:AF63"/>
    <mergeCell ref="AG63:AH63"/>
    <mergeCell ref="A63:B63"/>
    <mergeCell ref="C63:L63"/>
    <mergeCell ref="N63:O63"/>
    <mergeCell ref="P63:Q63"/>
    <mergeCell ref="R63:S63"/>
    <mergeCell ref="T63:U63"/>
    <mergeCell ref="AM64:AN64"/>
    <mergeCell ref="C65:D65"/>
    <mergeCell ref="E65:F65"/>
    <mergeCell ref="G65:H65"/>
    <mergeCell ref="I65:J65"/>
    <mergeCell ref="K65:L65"/>
    <mergeCell ref="M65:N65"/>
    <mergeCell ref="O65:P65"/>
    <mergeCell ref="Q65:R65"/>
    <mergeCell ref="AA66:AB66"/>
    <mergeCell ref="AC66:AD66"/>
    <mergeCell ref="AE66:AF66"/>
    <mergeCell ref="O66:P66"/>
    <mergeCell ref="Q66:R66"/>
    <mergeCell ref="S66:T66"/>
    <mergeCell ref="U66:V66"/>
    <mergeCell ref="W66:X66"/>
    <mergeCell ref="Y66:Z66"/>
    <mergeCell ref="AE65:AF65"/>
    <mergeCell ref="AI65:AL65"/>
    <mergeCell ref="A69:N69"/>
    <mergeCell ref="O69:AB69"/>
    <mergeCell ref="AC69:AR69"/>
    <mergeCell ref="O67:P67"/>
    <mergeCell ref="Q67:R67"/>
    <mergeCell ref="AM65:AN65"/>
    <mergeCell ref="A66:B66"/>
    <mergeCell ref="C66:D66"/>
    <mergeCell ref="E66:F66"/>
    <mergeCell ref="G66:H66"/>
    <mergeCell ref="I66:J66"/>
    <mergeCell ref="K66:L66"/>
    <mergeCell ref="M66:N66"/>
    <mergeCell ref="S67:T67"/>
    <mergeCell ref="U67:V67"/>
    <mergeCell ref="W67:X67"/>
    <mergeCell ref="Y67:Z67"/>
    <mergeCell ref="A67:B67"/>
    <mergeCell ref="C67:D67"/>
    <mergeCell ref="E67:F67"/>
    <mergeCell ref="S65:T65"/>
    <mergeCell ref="U65:V65"/>
    <mergeCell ref="W65:X65"/>
    <mergeCell ref="Y65:Z65"/>
    <mergeCell ref="AA65:AB65"/>
    <mergeCell ref="G67:H67"/>
    <mergeCell ref="AC65:AD65"/>
    <mergeCell ref="I67:J67"/>
    <mergeCell ref="K67:L67"/>
    <mergeCell ref="M67:N67"/>
    <mergeCell ref="A65:B65"/>
    <mergeCell ref="A70:G70"/>
    <mergeCell ref="H70:N70"/>
    <mergeCell ref="O70:U70"/>
    <mergeCell ref="V70:AB70"/>
    <mergeCell ref="AC70:AK70"/>
    <mergeCell ref="AL71:AR71"/>
    <mergeCell ref="AL70:AR70"/>
    <mergeCell ref="AA67:AB67"/>
    <mergeCell ref="AC67:AD67"/>
    <mergeCell ref="AE67:AF67"/>
    <mergeCell ref="A68:E68"/>
    <mergeCell ref="AL75:AR75"/>
    <mergeCell ref="A76:G76"/>
    <mergeCell ref="H76:N76"/>
    <mergeCell ref="O76:U76"/>
    <mergeCell ref="V76:AB76"/>
    <mergeCell ref="AC76:AK76"/>
    <mergeCell ref="AL76:AR76"/>
    <mergeCell ref="A73:E73"/>
    <mergeCell ref="A75:G75"/>
    <mergeCell ref="H75:N75"/>
    <mergeCell ref="O75:U75"/>
    <mergeCell ref="V75:AB75"/>
    <mergeCell ref="AC75:AK75"/>
    <mergeCell ref="A71:G71"/>
    <mergeCell ref="H71:N71"/>
    <mergeCell ref="O71:U71"/>
    <mergeCell ref="V71:AB71"/>
    <mergeCell ref="AC71:AK71"/>
  </mergeCells>
  <pageMargins left="0.51181102362204722" right="0.51181102362204722" top="0.78740157480314965" bottom="0.78740157480314965" header="0.31496062992125984" footer="0.31496062992125984"/>
  <pageSetup paperSize="9" scale="65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ORDEM DE PRODUÇÃO (2)</vt:lpstr>
    </vt:vector>
  </TitlesOfParts>
  <Company>Brenntag Química Brasil Ltda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DESARROLLO</dc:title>
  <dc:creator>JUAN PABLO</dc:creator>
  <cp:lastModifiedBy>Daniel</cp:lastModifiedBy>
  <cp:lastPrinted>2016-10-06T18:21:49Z</cp:lastPrinted>
  <dcterms:created xsi:type="dcterms:W3CDTF">2007-05-17T20:20:02Z</dcterms:created>
  <dcterms:modified xsi:type="dcterms:W3CDTF">2019-07-18T01:14:04Z</dcterms:modified>
</cp:coreProperties>
</file>